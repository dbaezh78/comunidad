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db\personal\"/>
    </mc:Choice>
  </mc:AlternateContent>
  <xr:revisionPtr revIDLastSave="0" documentId="8_{B0CB1C6F-7CA1-499A-B29B-26C7C3F6C2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1" l="1"/>
  <c r="F10" i="1" s="1"/>
  <c r="G10" i="1" s="1"/>
  <c r="I10" i="1" s="1"/>
  <c r="E10" i="1"/>
  <c r="H10" i="1" s="1"/>
  <c r="D10" i="1"/>
</calcChain>
</file>

<file path=xl/sharedStrings.xml><?xml version="1.0" encoding="utf-8"?>
<sst xmlns="http://schemas.openxmlformats.org/spreadsheetml/2006/main" count="15" uniqueCount="15">
  <si>
    <t>INSTITUTO CULTURAL DOMINICO AMERICANO</t>
  </si>
  <si>
    <t>05/07/2022 1/22/1900 8:01:47 AM</t>
  </si>
  <si>
    <t>Resumen de Novedades procesadas Por Empleado</t>
  </si>
  <si>
    <t xml:space="preserve">Pág. </t>
  </si>
  <si>
    <t xml:space="preserve"> de </t>
  </si>
  <si>
    <t>4241 - CARLOS DAVID BAEZ HENRIQUEZ</t>
  </si>
  <si>
    <t>Salario</t>
  </si>
  <si>
    <t>ISR</t>
  </si>
  <si>
    <t>Avance A Sueldo</t>
  </si>
  <si>
    <t>Seguro de Pensión</t>
  </si>
  <si>
    <t>Seguro Familiar Salud</t>
  </si>
  <si>
    <t>Sub-Totales</t>
  </si>
  <si>
    <t>Neto</t>
  </si>
  <si>
    <t>Deducción</t>
  </si>
  <si>
    <t>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</si>
</sst>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1" formatCode="_(* #,##0.000000_);_(* \(#,##0.000000\);_(* &quot;-&quot;??_);_(@_)"/>
    <numFmt numFmtId="173" formatCode="_(* #,##0.00000000_);_(* \(#,##0.00000000\);_(* &quot;-&quot;??_);_(@_)"/>
    <numFmt numFmtId="174" formatCode="_(* #,##0.000000000_);_(* \(#,##0.000000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43" fontId="0" fillId="0" borderId="0" xfId="1" applyFont="1"/>
    <xf numFmtId="43" fontId="0" fillId="0" borderId="0" xfId="0" applyNumberFormat="1"/>
    <xf numFmtId="171" fontId="0" fillId="0" borderId="0" xfId="1" applyNumberFormat="1" applyFont="1"/>
    <xf numFmtId="173" fontId="0" fillId="0" borderId="0" xfId="1" applyNumberFormat="1" applyFont="1"/>
    <xf numFmtId="174" fontId="0" fillId="0" borderId="0" xfId="1" applyNumberFormat="1" applyFont="1"/>
    <xf numFmtId="43" fontId="3" fillId="0" borderId="0" xfId="0" applyNumberFormat="1" applyFont="1"/>
    <xf numFmtId="1" fontId="2" fillId="0" borderId="0" xfId="0" applyNumberFormat="1" applyFont="1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2" applyFont="1"/>
    <xf numFmtId="43" fontId="4" fillId="0" borderId="0" xfId="0" applyNumberFormat="1" applyFont="1"/>
    <xf numFmtId="43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18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* #,##0.000000_);_(* \(#,##0.00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6E426F-2A8E-4F62-8635-19D3908184AD}" name="Table2" displayName="Table2" ref="A9:I11" totalsRowCount="1" headerRowDxfId="12">
  <autoFilter ref="A9:I10" xr:uid="{566E426F-2A8E-4F62-8635-19D3908184AD}"/>
  <tableColumns count="9">
    <tableColumn id="1" xr3:uid="{6CCCB6AD-4326-4068-9B71-32A21CB7DED0}" name="Salario" dataDxfId="17" totalsRowDxfId="11" dataCellStyle="Comma" totalsRowCellStyle="Comma"/>
    <tableColumn id="2" xr3:uid="{9CF50D35-5347-4CA9-8FCD-1DACA9D8694E}" name="ISR" dataDxfId="16" totalsRowDxfId="10" dataCellStyle="Comma" totalsRowCellStyle="Comma"/>
    <tableColumn id="3" xr3:uid="{9CE11FFB-29E7-4F06-A63E-02E7027D127C}" name="Avance A Sueldo" dataDxfId="15" totalsRowDxfId="9" dataCellStyle="Comma" totalsRowCellStyle="Comma">
      <calculatedColumnFormula>+Table2[[#This Row],[Salario]]*40%</calculatedColumnFormula>
    </tableColumn>
    <tableColumn id="4" xr3:uid="{A84C2150-C0BF-4E5D-8FBA-EC3FFB566D49}" name="Seguro de Pensión" totalsRowDxfId="8" dataCellStyle="Comma">
      <calculatedColumnFormula>+A10*0.0287</calculatedColumnFormula>
    </tableColumn>
    <tableColumn id="5" xr3:uid="{8FA161B3-B5A7-4C6D-B90B-B9DFB100355B}" name="Seguro Familiar Salud" dataDxfId="14" totalsRowDxfId="7">
      <calculatedColumnFormula>A10*0.0304</calculatedColumnFormula>
    </tableColumn>
    <tableColumn id="6" xr3:uid="{D80050C4-F4D6-4490-91BE-D9A5ACDB531C}" name="Sub-Totales" dataDxfId="13" totalsRowDxfId="6">
      <calculatedColumnFormula>SUM(B10:E10)</calculatedColumnFormula>
    </tableColumn>
    <tableColumn id="7" xr3:uid="{6BBD52D6-6CB1-4874-B805-A905CC4ED77B}" name="Neto" dataDxfId="2" totalsRowDxfId="5">
      <calculatedColumnFormula>A10-F10</calculatedColumnFormula>
    </tableColumn>
    <tableColumn id="8" xr3:uid="{002B5C7C-8756-4ABE-AE35-0DE5CD522B78}" name="Deducción" dataDxfId="0" totalsRowDxfId="4">
      <calculatedColumnFormula>+E10+D10+B10</calculatedColumnFormula>
    </tableColumn>
    <tableColumn id="9" xr3:uid="{F0FE9E90-030A-4AFB-8F71-1048DB30214D}" name="Recibido" dataDxfId="1" totalsRowDxfId="3">
      <calculatedColumnFormula>+G10+C10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"/>
  <sheetViews>
    <sheetView tabSelected="1" workbookViewId="0">
      <selection activeCell="A10" sqref="A10"/>
    </sheetView>
  </sheetViews>
  <sheetFormatPr defaultRowHeight="15" x14ac:dyDescent="0.25"/>
  <cols>
    <col min="1" max="1" width="20.28515625" bestFit="1" customWidth="1"/>
    <col min="2" max="2" width="16.140625" bestFit="1" customWidth="1"/>
    <col min="3" max="3" width="17.85546875" customWidth="1"/>
    <col min="4" max="4" width="19.5703125" customWidth="1"/>
    <col min="5" max="5" width="22.140625" customWidth="1"/>
    <col min="6" max="6" width="13.5703125" customWidth="1"/>
    <col min="7" max="7" width="11.5703125" bestFit="1" customWidth="1"/>
    <col min="8" max="8" width="14.85546875" bestFit="1" customWidth="1"/>
    <col min="9" max="9" width="13.28515625" bestFit="1" customWidth="1"/>
  </cols>
  <sheetData>
    <row r="2" spans="1:9" x14ac:dyDescent="0.25">
      <c r="A2" t="s">
        <v>0</v>
      </c>
    </row>
    <row r="3" spans="1:9" x14ac:dyDescent="0.25">
      <c r="A3" t="s">
        <v>1</v>
      </c>
    </row>
    <row r="4" spans="1:9" x14ac:dyDescent="0.25">
      <c r="A4" t="s">
        <v>2</v>
      </c>
    </row>
    <row r="5" spans="1:9" x14ac:dyDescent="0.25">
      <c r="A5" t="s">
        <v>3</v>
      </c>
    </row>
    <row r="6" spans="1:9" x14ac:dyDescent="0.25">
      <c r="A6" t="s">
        <v>4</v>
      </c>
    </row>
    <row r="7" spans="1:9" x14ac:dyDescent="0.25">
      <c r="A7" t="s">
        <v>5</v>
      </c>
      <c r="B7">
        <v>13.0391453771573</v>
      </c>
      <c r="C7" s="11">
        <v>0.4</v>
      </c>
      <c r="D7" s="10">
        <v>2.87E-2</v>
      </c>
      <c r="E7" s="10">
        <v>3.04E-2</v>
      </c>
    </row>
    <row r="8" spans="1:9" x14ac:dyDescent="0.25">
      <c r="A8" s="1">
        <v>610101101000001</v>
      </c>
      <c r="B8" s="8">
        <v>210102101000001</v>
      </c>
      <c r="C8" s="8">
        <v>110103108000000</v>
      </c>
      <c r="D8" s="8">
        <v>210102110000001</v>
      </c>
      <c r="E8" s="8">
        <v>210102110000001</v>
      </c>
    </row>
    <row r="9" spans="1:9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spans="1:9" x14ac:dyDescent="0.25">
      <c r="A10" s="2">
        <v>70000</v>
      </c>
      <c r="B10" s="2">
        <v>5368.45</v>
      </c>
      <c r="C10" s="2">
        <f>+Table2[[#This Row],[Salario]]*40%</f>
        <v>28000</v>
      </c>
      <c r="D10" s="2">
        <f>+A10*0.0287</f>
        <v>2009</v>
      </c>
      <c r="E10" s="3">
        <f>A10*0.0304</f>
        <v>2128</v>
      </c>
      <c r="F10" s="3">
        <f>SUM(B10:E10)</f>
        <v>37505.449999999997</v>
      </c>
      <c r="G10" s="3">
        <f>A10-F10</f>
        <v>32494.550000000003</v>
      </c>
      <c r="H10" s="13">
        <f>+E10+D10+B10</f>
        <v>9505.4500000000007</v>
      </c>
      <c r="I10" s="12">
        <f>+G10+C10</f>
        <v>60494.55</v>
      </c>
    </row>
    <row r="11" spans="1:9" x14ac:dyDescent="0.25">
      <c r="A11" s="2"/>
      <c r="B11" s="4"/>
      <c r="C11" s="2"/>
      <c r="D11" s="3"/>
      <c r="E11" s="3"/>
      <c r="F11" s="3"/>
      <c r="G11" s="3"/>
      <c r="H11" s="3"/>
      <c r="I11" s="7"/>
    </row>
    <row r="13" spans="1:9" x14ac:dyDescent="0.25">
      <c r="C13" s="3"/>
    </row>
    <row r="16" spans="1:9" x14ac:dyDescent="0.25">
      <c r="D16" s="2"/>
      <c r="E16" s="2"/>
    </row>
    <row r="17" spans="4:6" x14ac:dyDescent="0.25">
      <c r="D17" s="2"/>
      <c r="E17" s="2"/>
      <c r="F17" s="2"/>
    </row>
    <row r="18" spans="4:6" x14ac:dyDescent="0.25">
      <c r="D18" s="2"/>
      <c r="E18" s="2"/>
      <c r="F18" s="2"/>
    </row>
    <row r="19" spans="4:6" x14ac:dyDescent="0.25">
      <c r="D19" s="5"/>
      <c r="E19" s="2"/>
      <c r="F19" s="2"/>
    </row>
    <row r="20" spans="4:6" x14ac:dyDescent="0.25">
      <c r="D20" s="6"/>
      <c r="E20" s="2"/>
      <c r="F20" s="2"/>
    </row>
    <row r="21" spans="4:6" x14ac:dyDescent="0.25">
      <c r="D21" s="2"/>
      <c r="E21" s="2"/>
      <c r="F21" s="2"/>
    </row>
    <row r="22" spans="4:6" x14ac:dyDescent="0.25">
      <c r="D22" s="2"/>
      <c r="E22" s="2"/>
    </row>
    <row r="23" spans="4:6" x14ac:dyDescent="0.25">
      <c r="D23" s="2"/>
      <c r="E23" s="2"/>
      <c r="F23" s="3"/>
    </row>
    <row r="24" spans="4:6" x14ac:dyDescent="0.25">
      <c r="D24" s="2"/>
      <c r="E2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Instituto Cultural Dominico Americano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dperez</dc:creator>
  <cp:lastModifiedBy>Carlos David Baez</cp:lastModifiedBy>
  <dcterms:created xsi:type="dcterms:W3CDTF">2022-07-28T14:54:21Z</dcterms:created>
  <dcterms:modified xsi:type="dcterms:W3CDTF">2022-07-28T17:33:59Z</dcterms:modified>
</cp:coreProperties>
</file>