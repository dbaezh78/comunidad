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baezh\Downloads\"/>
    </mc:Choice>
  </mc:AlternateContent>
  <xr:revisionPtr revIDLastSave="0" documentId="13_ncr:1_{FA608342-3513-4526-9C2B-A31FFEDB34A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Listado Hermanos Grupos" sheetId="1" r:id="rId1"/>
    <sheet name="sReponsables" sheetId="2" state="hidden" r:id="rId2"/>
    <sheet name="xResponsables" sheetId="3" r:id="rId3"/>
    <sheet name="sMatrimonio" sheetId="4" state="hidden" r:id="rId4"/>
    <sheet name="Salmos" sheetId="11" r:id="rId5"/>
    <sheet name="xMatrimonio" sheetId="5" r:id="rId6"/>
    <sheet name="Eucaristia" sheetId="6" r:id="rId7"/>
    <sheet name="Temas" sheetId="7" r:id="rId8"/>
    <sheet name="Pago Salterio" sheetId="8" r:id="rId9"/>
    <sheet name="Preparación Temas y Escrutacio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tGhwXqeK3F/NcptqkKMldWXjyjGxCFz2E9lctaqyAWA="/>
    </ext>
  </extLst>
</workbook>
</file>

<file path=xl/calcChain.xml><?xml version="1.0" encoding="utf-8"?>
<calcChain xmlns="http://schemas.openxmlformats.org/spreadsheetml/2006/main">
  <c r="H2" i="11" l="1"/>
  <c r="G2" i="11"/>
  <c r="F2" i="11"/>
  <c r="E2" i="11"/>
  <c r="D2" i="11"/>
  <c r="C2" i="11"/>
  <c r="D29" i="8"/>
  <c r="D28" i="8"/>
  <c r="D27" i="8"/>
  <c r="D22" i="8"/>
  <c r="D14" i="8"/>
  <c r="D13" i="8"/>
  <c r="D11" i="8"/>
  <c r="D10" i="8"/>
  <c r="D8" i="8"/>
  <c r="D7" i="8"/>
  <c r="C2" i="8"/>
  <c r="B2" i="8"/>
  <c r="A2" i="8"/>
  <c r="B48" i="7"/>
  <c r="B32" i="7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31" i="7"/>
  <c r="B25" i="7"/>
  <c r="B23" i="7"/>
  <c r="B22" i="7"/>
  <c r="B14" i="7"/>
  <c r="B15" i="7" s="1"/>
  <c r="B16" i="7" s="1"/>
  <c r="B17" i="7" s="1"/>
  <c r="B18" i="7" s="1"/>
  <c r="B19" i="7" s="1"/>
  <c r="B20" i="7" s="1"/>
  <c r="H3" i="6"/>
  <c r="G3" i="6"/>
  <c r="F3" i="6"/>
  <c r="E3" i="6"/>
  <c r="D3" i="6"/>
  <c r="C3" i="6"/>
  <c r="H2" i="5"/>
  <c r="G2" i="5"/>
  <c r="F2" i="5"/>
  <c r="E2" i="5"/>
  <c r="D2" i="5"/>
  <c r="C2" i="5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2" i="4"/>
  <c r="C11" i="4"/>
  <c r="C10" i="4"/>
  <c r="C9" i="4"/>
  <c r="C8" i="4"/>
  <c r="C7" i="4"/>
  <c r="C6" i="4"/>
  <c r="C5" i="4"/>
  <c r="C4" i="4"/>
  <c r="C3" i="4"/>
  <c r="C2" i="4"/>
  <c r="C20" i="3"/>
  <c r="C19" i="3"/>
  <c r="C18" i="3"/>
  <c r="C17" i="3"/>
  <c r="C16" i="3"/>
  <c r="C15" i="3"/>
  <c r="H3" i="3"/>
  <c r="G3" i="3"/>
  <c r="F3" i="3"/>
  <c r="E3" i="3"/>
  <c r="D3" i="3"/>
  <c r="C3" i="3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5" i="2"/>
  <c r="D14" i="2"/>
  <c r="D13" i="2"/>
  <c r="D12" i="2"/>
  <c r="D11" i="2"/>
  <c r="D10" i="2"/>
  <c r="D9" i="2"/>
  <c r="D8" i="2"/>
  <c r="D5" i="2"/>
  <c r="D4" i="2"/>
  <c r="D3" i="2"/>
  <c r="D2" i="2"/>
  <c r="I58" i="1"/>
  <c r="I55" i="1"/>
  <c r="I54" i="1"/>
  <c r="I53" i="1"/>
  <c r="I52" i="1"/>
  <c r="I51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5" i="1"/>
  <c r="I14" i="1"/>
  <c r="F4" i="1"/>
  <c r="F3" i="1"/>
  <c r="F2" i="1"/>
  <c r="H2" i="6" l="1"/>
  <c r="D22" i="4"/>
  <c r="E22" i="4" s="1"/>
  <c r="D25" i="4"/>
  <c r="E25" i="4" s="1"/>
  <c r="E9" i="2"/>
  <c r="F9" i="2" s="1"/>
  <c r="D4" i="4"/>
  <c r="E4" i="4" s="1"/>
  <c r="D7" i="4"/>
  <c r="E7" i="4" s="1"/>
  <c r="E35" i="2"/>
  <c r="F35" i="2" s="1"/>
  <c r="C2" i="6"/>
  <c r="D2" i="3"/>
  <c r="D4" i="3" s="1"/>
  <c r="E2" i="6"/>
  <c r="E27" i="2"/>
  <c r="F27" i="2" s="1"/>
  <c r="G2" i="6"/>
  <c r="E10" i="2"/>
  <c r="F10" i="2" s="1"/>
  <c r="E40" i="2"/>
  <c r="F40" i="2" s="1"/>
  <c r="E2" i="2"/>
  <c r="F2" i="2" s="1"/>
  <c r="E12" i="2"/>
  <c r="F12" i="2" s="1"/>
  <c r="E22" i="2"/>
  <c r="F22" i="2" s="1"/>
  <c r="D2" i="6"/>
  <c r="E4" i="2"/>
  <c r="F4" i="2" s="1"/>
  <c r="E14" i="2"/>
  <c r="F14" i="2" s="1"/>
  <c r="E24" i="2"/>
  <c r="F24" i="2" s="1"/>
  <c r="E29" i="2"/>
  <c r="F29" i="2" s="1"/>
  <c r="H2" i="3"/>
  <c r="H4" i="3" s="1"/>
  <c r="D12" i="4"/>
  <c r="E12" i="4" s="1"/>
  <c r="D30" i="4"/>
  <c r="E30" i="4" s="1"/>
  <c r="D36" i="4"/>
  <c r="E36" i="4" s="1"/>
  <c r="E20" i="2"/>
  <c r="F20" i="2" s="1"/>
  <c r="D8" i="4"/>
  <c r="E8" i="4" s="1"/>
  <c r="D2" i="4"/>
  <c r="E2" i="4" s="1"/>
  <c r="D6" i="4"/>
  <c r="E6" i="4" s="1"/>
  <c r="D20" i="4"/>
  <c r="E20" i="4" s="1"/>
  <c r="D37" i="4"/>
  <c r="E37" i="4" s="1"/>
  <c r="E5" i="2"/>
  <c r="F5" i="2" s="1"/>
  <c r="E11" i="2"/>
  <c r="F11" i="2" s="1"/>
  <c r="E15" i="2"/>
  <c r="F15" i="2" s="1"/>
  <c r="E21" i="2"/>
  <c r="F21" i="2" s="1"/>
  <c r="E25" i="2"/>
  <c r="F25" i="2" s="1"/>
  <c r="E30" i="2"/>
  <c r="F30" i="2" s="1"/>
  <c r="D3" i="4"/>
  <c r="E3" i="4" s="1"/>
  <c r="D34" i="4"/>
  <c r="E34" i="4" s="1"/>
  <c r="C8" i="11" s="1"/>
  <c r="D21" i="4"/>
  <c r="E21" i="4" s="1"/>
  <c r="D31" i="4"/>
  <c r="E31" i="4" s="1"/>
  <c r="E31" i="2"/>
  <c r="F31" i="2" s="1"/>
  <c r="C2" i="3"/>
  <c r="C4" i="3" s="1"/>
  <c r="G2" i="3"/>
  <c r="G4" i="3" s="1"/>
  <c r="D9" i="4"/>
  <c r="E9" i="4" s="1"/>
  <c r="D27" i="4"/>
  <c r="E27" i="4" s="1"/>
  <c r="D38" i="4"/>
  <c r="E38" i="4" s="1"/>
  <c r="H8" i="11" s="1"/>
  <c r="E8" i="2"/>
  <c r="F8" i="2" s="1"/>
  <c r="E18" i="2"/>
  <c r="F18" i="2" s="1"/>
  <c r="E23" i="2"/>
  <c r="F23" i="2" s="1"/>
  <c r="E32" i="2"/>
  <c r="F32" i="2" s="1"/>
  <c r="E2" i="3"/>
  <c r="E4" i="3" s="1"/>
  <c r="D10" i="4"/>
  <c r="E10" i="4" s="1"/>
  <c r="D17" i="4"/>
  <c r="E17" i="4" s="1"/>
  <c r="D28" i="4"/>
  <c r="E28" i="4" s="1"/>
  <c r="C7" i="11" s="1"/>
  <c r="E37" i="2"/>
  <c r="F37" i="2" s="1"/>
  <c r="D33" i="4"/>
  <c r="E33" i="4" s="1"/>
  <c r="E13" i="2"/>
  <c r="F13" i="2" s="1"/>
  <c r="E36" i="2"/>
  <c r="F36" i="2" s="1"/>
  <c r="E26" i="2"/>
  <c r="F26" i="2" s="1"/>
  <c r="E34" i="2"/>
  <c r="F34" i="2" s="1"/>
  <c r="E28" i="2"/>
  <c r="F28" i="2" s="1"/>
  <c r="E38" i="2"/>
  <c r="F38" i="2" s="1"/>
  <c r="F2" i="3"/>
  <c r="F4" i="3" s="1"/>
  <c r="D5" i="4"/>
  <c r="E5" i="4" s="1"/>
  <c r="D11" i="4"/>
  <c r="E11" i="4" s="1"/>
  <c r="D23" i="4"/>
  <c r="E23" i="4" s="1"/>
  <c r="D29" i="4"/>
  <c r="E29" i="4" s="1"/>
  <c r="D35" i="4"/>
  <c r="E35" i="4" s="1"/>
  <c r="E3" i="2"/>
  <c r="F3" i="2" s="1"/>
  <c r="E19" i="2"/>
  <c r="F19" i="2" s="1"/>
  <c r="E33" i="2"/>
  <c r="F33" i="2" s="1"/>
  <c r="E39" i="2"/>
  <c r="F39" i="2" s="1"/>
  <c r="D19" i="4"/>
  <c r="E19" i="4" s="1"/>
  <c r="D16" i="4"/>
  <c r="E16" i="4" s="1"/>
  <c r="D24" i="4"/>
  <c r="E24" i="4" s="1"/>
  <c r="D32" i="4"/>
  <c r="E32" i="4" s="1"/>
  <c r="F2" i="6"/>
  <c r="D15" i="4"/>
  <c r="E15" i="4" s="1"/>
  <c r="D18" i="4"/>
  <c r="E18" i="4" s="1"/>
  <c r="D26" i="4"/>
  <c r="E26" i="4" s="1"/>
  <c r="G6" i="5" l="1"/>
  <c r="G6" i="11"/>
  <c r="C4" i="5"/>
  <c r="C4" i="11"/>
  <c r="D3" i="5"/>
  <c r="D3" i="11"/>
  <c r="G8" i="5"/>
  <c r="F8" i="5"/>
  <c r="F8" i="11"/>
  <c r="E3" i="5"/>
  <c r="E3" i="11"/>
  <c r="G7" i="5"/>
  <c r="G7" i="11"/>
  <c r="G5" i="5"/>
  <c r="G5" i="11"/>
  <c r="F4" i="5"/>
  <c r="F4" i="11"/>
  <c r="H4" i="5"/>
  <c r="H4" i="11"/>
  <c r="C6" i="5"/>
  <c r="C6" i="11"/>
  <c r="D7" i="5"/>
  <c r="D7" i="11"/>
  <c r="C3" i="5"/>
  <c r="C3" i="11"/>
  <c r="G3" i="5"/>
  <c r="G3" i="11"/>
  <c r="C7" i="5"/>
  <c r="C8" i="5"/>
  <c r="F6" i="5"/>
  <c r="F6" i="11"/>
  <c r="H6" i="5"/>
  <c r="H6" i="11"/>
  <c r="D8" i="5"/>
  <c r="D8" i="11"/>
  <c r="E5" i="5"/>
  <c r="E5" i="11"/>
  <c r="F3" i="5"/>
  <c r="F3" i="11"/>
  <c r="H5" i="5"/>
  <c r="H5" i="11"/>
  <c r="C5" i="5"/>
  <c r="C5" i="11"/>
  <c r="H3" i="5"/>
  <c r="H3" i="11"/>
  <c r="G4" i="5"/>
  <c r="G4" i="11"/>
  <c r="E4" i="5"/>
  <c r="E4" i="11"/>
  <c r="D6" i="5"/>
  <c r="D6" i="11"/>
  <c r="E6" i="5"/>
  <c r="E6" i="11"/>
  <c r="D4" i="5"/>
  <c r="D4" i="11"/>
  <c r="H7" i="5"/>
  <c r="H7" i="11"/>
  <c r="F7" i="5"/>
  <c r="F7" i="11"/>
  <c r="E8" i="5"/>
  <c r="E8" i="11"/>
  <c r="F5" i="5"/>
  <c r="F5" i="11"/>
  <c r="D5" i="5"/>
  <c r="D5" i="11"/>
  <c r="E7" i="5"/>
  <c r="E7" i="11"/>
  <c r="C7" i="3"/>
  <c r="G6" i="6"/>
  <c r="H9" i="3"/>
  <c r="G10" i="3"/>
  <c r="C5" i="6"/>
  <c r="C6" i="3"/>
  <c r="F7" i="6"/>
  <c r="E5" i="6"/>
  <c r="E6" i="3"/>
  <c r="H4" i="6"/>
  <c r="F8" i="3"/>
  <c r="H8" i="6"/>
  <c r="D7" i="3"/>
  <c r="C9" i="6"/>
  <c r="C10" i="3"/>
  <c r="C8" i="6"/>
  <c r="C9" i="3"/>
  <c r="H7" i="6"/>
  <c r="H8" i="3"/>
  <c r="E8" i="3"/>
  <c r="E7" i="6"/>
  <c r="F5" i="6"/>
  <c r="F7" i="3"/>
  <c r="D8" i="3"/>
  <c r="D7" i="6"/>
  <c r="C7" i="6"/>
  <c r="G7" i="3"/>
  <c r="G9" i="6"/>
  <c r="F10" i="3"/>
  <c r="E9" i="3"/>
  <c r="E8" i="6"/>
  <c r="H6" i="3"/>
  <c r="F6" i="6"/>
  <c r="G5" i="6"/>
  <c r="H7" i="3"/>
  <c r="G9" i="3"/>
  <c r="G8" i="6"/>
  <c r="F9" i="3"/>
  <c r="F8" i="6"/>
  <c r="D9" i="6"/>
  <c r="D10" i="3"/>
  <c r="H6" i="6"/>
  <c r="E7" i="3"/>
  <c r="D8" i="6"/>
  <c r="D9" i="3"/>
  <c r="C8" i="3"/>
  <c r="H5" i="6"/>
  <c r="E6" i="6"/>
  <c r="F6" i="3"/>
  <c r="F9" i="6"/>
  <c r="E10" i="3"/>
  <c r="D5" i="6"/>
  <c r="G6" i="3"/>
  <c r="D6" i="3"/>
  <c r="D6" i="6"/>
  <c r="G5" i="3"/>
  <c r="C6" i="6"/>
  <c r="G7" i="6"/>
  <c r="G8" i="3"/>
  <c r="G4" i="6"/>
  <c r="H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ID#AAAAsJt4mOc
dbaez    (2023-02-28 22:58:38)
Nacimiento comunidad David: 15/3/2009
Fusión de comunidad Edwin y David
domingo, febrero 05, 2012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pn8XUbVOAIrF3xqJbiRikunqLvw=="/>
    </ext>
  </extLst>
</comments>
</file>

<file path=xl/sharedStrings.xml><?xml version="1.0" encoding="utf-8"?>
<sst xmlns="http://schemas.openxmlformats.org/spreadsheetml/2006/main" count="812" uniqueCount="384">
  <si>
    <t>Comunidad #4</t>
  </si>
  <si>
    <t>Fecha de nacimiento comunidad más vieja:</t>
  </si>
  <si>
    <t>Fecha de nacimiento comunidad más joven:</t>
  </si>
  <si>
    <t>Fusión de ambas comunidades:</t>
  </si>
  <si>
    <t>Responsables</t>
  </si>
  <si>
    <t>Catequistas</t>
  </si>
  <si>
    <t>1. Miguel Rodriguez &amp; Rosa Morillo | Mery</t>
  </si>
  <si>
    <t>José Ramirez</t>
  </si>
  <si>
    <t>2. Edwin García &amp; Sugey Padilla</t>
  </si>
  <si>
    <t>Chea</t>
  </si>
  <si>
    <t>3. Carlos Guevara &amp; Arelis Lazala</t>
  </si>
  <si>
    <t>Francisco Carmona</t>
  </si>
  <si>
    <t>4. Criseida Sánchez</t>
  </si>
  <si>
    <t>Julia Susana Báez</t>
  </si>
  <si>
    <t>Carlos M. Vizcaíno</t>
  </si>
  <si>
    <t>Yacaira De Vizcaíno</t>
  </si>
  <si>
    <t>Orden Alfabetico</t>
  </si>
  <si>
    <t>NOMBRE Y APELLIDO</t>
  </si>
  <si>
    <t>Column1</t>
  </si>
  <si>
    <t>TELÉFONO</t>
  </si>
  <si>
    <t>TELÉFONO2</t>
  </si>
  <si>
    <t>Cumpleaños dd/mm</t>
  </si>
  <si>
    <t>Realidad</t>
  </si>
  <si>
    <t>Parejas</t>
  </si>
  <si>
    <t>Sorteo</t>
  </si>
  <si>
    <t>Hermanos</t>
  </si>
  <si>
    <t>Matrimonio</t>
  </si>
  <si>
    <t>Santerio</t>
  </si>
  <si>
    <t>ws</t>
  </si>
  <si>
    <t>39 Hermanos</t>
  </si>
  <si>
    <t>Alejandro Nuñez Flaz</t>
  </si>
  <si>
    <t>N/A</t>
  </si>
  <si>
    <t>NO WS</t>
  </si>
  <si>
    <t>6 Hermanos</t>
  </si>
  <si>
    <t>Altagracia Vitello Guzman</t>
  </si>
  <si>
    <t>Adultos</t>
  </si>
  <si>
    <t>Angela George</t>
  </si>
  <si>
    <t>Ana María Yulis Perreño</t>
  </si>
  <si>
    <t>Euridisis Encarnación Reyes</t>
  </si>
  <si>
    <t>Angel Gabriel Comas</t>
  </si>
  <si>
    <t>Maria Dolores de la Cruz Solano</t>
  </si>
  <si>
    <t>Angel Jeremias Florentino de Paula</t>
  </si>
  <si>
    <t>Isabel Concepción</t>
  </si>
  <si>
    <t>NO ws</t>
  </si>
  <si>
    <t>Antonia Polanco P.</t>
  </si>
  <si>
    <t>Arelis Lazala de Guevara</t>
  </si>
  <si>
    <t>Carlos David Baez H.</t>
  </si>
  <si>
    <t>Carlos Francisco Guevara</t>
  </si>
  <si>
    <t>Carmen Herminia Hernandez</t>
  </si>
  <si>
    <t>Celeste Regina Núñez Pujols</t>
  </si>
  <si>
    <t>Corina Altagracia Sosa</t>
  </si>
  <si>
    <t>Criseida Sánchez</t>
  </si>
  <si>
    <t>Daniel Alexander Gonzalez</t>
  </si>
  <si>
    <t>Daysi Francisca Garcia Vasquez</t>
  </si>
  <si>
    <t>16 Febrero</t>
  </si>
  <si>
    <t>Dionis Esteban Alcantara Arias</t>
  </si>
  <si>
    <t>Edwin García</t>
  </si>
  <si>
    <t>Eliezer Paniagua</t>
  </si>
  <si>
    <t>Elimar Alvarez</t>
  </si>
  <si>
    <t>Enmanuel Gonzalez María</t>
  </si>
  <si>
    <t>Gisela Antonia Gil</t>
  </si>
  <si>
    <t>Hermes Moises Aibar Pontier</t>
  </si>
  <si>
    <t>José Miraye</t>
  </si>
  <si>
    <t>Juan Isidro Suliz</t>
  </si>
  <si>
    <t>Kensy Esperanza Cabrera</t>
  </si>
  <si>
    <t>Luz Alexa Maria Sanchez</t>
  </si>
  <si>
    <t>Marcos Auri Ventura Paulino</t>
  </si>
  <si>
    <t>Mario Enrique de la Cruz Solano</t>
  </si>
  <si>
    <t>Miguel Adolfo Rodriguez G.</t>
  </si>
  <si>
    <t>Miguelina Sugey Padilla</t>
  </si>
  <si>
    <t>Natalia García Zoriano de Flaz</t>
  </si>
  <si>
    <t>Pilar Calcaño</t>
  </si>
  <si>
    <t>Rosa Elena Dominguez Maria</t>
  </si>
  <si>
    <t>Rosa Maria Morillo Rodriguez | Mery</t>
  </si>
  <si>
    <t>Rosa Oliva Sánchez Arias</t>
  </si>
  <si>
    <t>Ruth Divina Alcantara Arias</t>
  </si>
  <si>
    <t>Ruth Nathalie Veras Acosta</t>
  </si>
  <si>
    <t>Sindy Núñez Pujols</t>
  </si>
  <si>
    <t>Victoria Vasquez de la Cruz</t>
  </si>
  <si>
    <t>Virginia Carolina</t>
  </si>
  <si>
    <t>Winny Melissa Lora</t>
  </si>
  <si>
    <t>Yulissa Peña de Comas</t>
  </si>
  <si>
    <t>Aleatorio</t>
  </si>
  <si>
    <t>#</t>
  </si>
  <si>
    <t>1,2</t>
  </si>
  <si>
    <t>Miguel Rodriguez &amp; Rosa Morillo | Mery</t>
  </si>
  <si>
    <t>3,4</t>
  </si>
  <si>
    <t>Edwin Garcia &amp; Sujey Padilla</t>
  </si>
  <si>
    <t>5,6</t>
  </si>
  <si>
    <t>Carlos Guevara &amp; Arelis Lazala</t>
  </si>
  <si>
    <t>Matrimonios</t>
  </si>
  <si>
    <t>8,9</t>
  </si>
  <si>
    <t>Alejandro Flaz &amp; Natalia García</t>
  </si>
  <si>
    <t>10,11</t>
  </si>
  <si>
    <t>Angel Gabriel &amp; Yulissa Peña</t>
  </si>
  <si>
    <t>12,13</t>
  </si>
  <si>
    <t>Carlos David &amp; Rosa Dominguez</t>
  </si>
  <si>
    <t>14,15</t>
  </si>
  <si>
    <t>Daniel Gonzalez &amp; Winny Lora</t>
  </si>
  <si>
    <t>Dionis Alcantara &amp; Ana Yulis</t>
  </si>
  <si>
    <t>Juan Isidro &amp; Sindy Núñez</t>
  </si>
  <si>
    <t>Marcos Ventura &amp; Pilar Calcaño</t>
  </si>
  <si>
    <t>16,17</t>
  </si>
  <si>
    <t>Mario de la Cruz &amp; Victoria Vasquez</t>
  </si>
  <si>
    <t>Comunidad No. 4</t>
  </si>
  <si>
    <t>Presentación de los Temas</t>
  </si>
  <si>
    <t>Orden</t>
  </si>
  <si>
    <t>Tema</t>
  </si>
  <si>
    <t>Responsable del Tema</t>
  </si>
  <si>
    <t>Hermanos del Grupo</t>
  </si>
  <si>
    <t>Generar Nuevo Grupo</t>
  </si>
  <si>
    <r>
      <rPr>
        <sz val="20"/>
        <color rgb="FF000000"/>
        <rFont val="Calibri"/>
        <family val="2"/>
      </rPr>
      <t xml:space="preserve">Coloquese en el Campo </t>
    </r>
    <r>
      <rPr>
        <sz val="20"/>
        <color rgb="FF00B0F0"/>
        <rFont val="Calibri"/>
        <family val="2"/>
      </rPr>
      <t xml:space="preserve">Azul </t>
    </r>
    <r>
      <rPr>
        <sz val="20"/>
        <color rgb="FF000000"/>
        <rFont val="Calibri"/>
        <family val="2"/>
      </rPr>
      <t xml:space="preserve">y Seleccione </t>
    </r>
    <r>
      <rPr>
        <b/>
        <sz val="20"/>
        <color rgb="FF000000"/>
        <rFont val="Calibri"/>
        <family val="2"/>
      </rPr>
      <t>Generar Nuevo Grupo</t>
    </r>
  </si>
  <si>
    <t>TEMAS celebración, el Azul es por el que vamos</t>
  </si>
  <si>
    <t>Adan</t>
  </si>
  <si>
    <t>Gedeón</t>
  </si>
  <si>
    <t>Ester</t>
  </si>
  <si>
    <t>Naúm</t>
  </si>
  <si>
    <t>Eva</t>
  </si>
  <si>
    <t>Abimelek</t>
  </si>
  <si>
    <t>Job</t>
  </si>
  <si>
    <t>Habacuc</t>
  </si>
  <si>
    <t>Cain</t>
  </si>
  <si>
    <t>Jefté</t>
  </si>
  <si>
    <t>Isaías</t>
  </si>
  <si>
    <t>Sofonias</t>
  </si>
  <si>
    <t>Abel</t>
  </si>
  <si>
    <t>Sansón</t>
  </si>
  <si>
    <t>Jeremias</t>
  </si>
  <si>
    <t>Ageo</t>
  </si>
  <si>
    <t>Noe</t>
  </si>
  <si>
    <t>El delito de Gabaá</t>
  </si>
  <si>
    <t>Ezequiel</t>
  </si>
  <si>
    <t>Zacarías</t>
  </si>
  <si>
    <t>Abraham</t>
  </si>
  <si>
    <t>Samuel</t>
  </si>
  <si>
    <t>Daniel</t>
  </si>
  <si>
    <t>Malaquias</t>
  </si>
  <si>
    <t>Isaac</t>
  </si>
  <si>
    <t>Saúl</t>
  </si>
  <si>
    <t>Baruc</t>
  </si>
  <si>
    <t>Esdras</t>
  </si>
  <si>
    <t>Jacob</t>
  </si>
  <si>
    <t>David</t>
  </si>
  <si>
    <t>Oseas</t>
  </si>
  <si>
    <t>Neemías</t>
  </si>
  <si>
    <t>José</t>
  </si>
  <si>
    <t>Salomón</t>
  </si>
  <si>
    <t>Joel</t>
  </si>
  <si>
    <t>Moises</t>
  </si>
  <si>
    <t>Elías</t>
  </si>
  <si>
    <t>Amós</t>
  </si>
  <si>
    <t>Aarón</t>
  </si>
  <si>
    <t>Eliseo</t>
  </si>
  <si>
    <t>Abdías</t>
  </si>
  <si>
    <t>Josué</t>
  </si>
  <si>
    <t>Tobias</t>
  </si>
  <si>
    <t>Jonás</t>
  </si>
  <si>
    <t>Débora y Barak</t>
  </si>
  <si>
    <t>Judit</t>
  </si>
  <si>
    <t>Miqueas</t>
  </si>
  <si>
    <t>Sorteado</t>
  </si>
  <si>
    <t>Edwin García &amp; Sugey Padilla</t>
  </si>
  <si>
    <t>No Matrimonio</t>
  </si>
  <si>
    <t>Celebración por las casas Escrutacio</t>
  </si>
  <si>
    <r>
      <rPr>
        <sz val="20"/>
        <color rgb="FF000000"/>
        <rFont val="Calibri"/>
        <family val="2"/>
      </rPr>
      <t xml:space="preserve">Coloquese en el Campo </t>
    </r>
    <r>
      <rPr>
        <sz val="20"/>
        <color rgb="FF00B0F0"/>
        <rFont val="Calibri"/>
        <family val="2"/>
      </rPr>
      <t xml:space="preserve">Azul </t>
    </r>
    <r>
      <rPr>
        <sz val="20"/>
        <color rgb="FF000000"/>
        <rFont val="Calibri"/>
        <family val="2"/>
      </rPr>
      <t>y Seleccione un tema.</t>
    </r>
  </si>
  <si>
    <t>Presentación Eucaristia</t>
  </si>
  <si>
    <t>Patriarcas</t>
  </si>
  <si>
    <t>Caudillos</t>
  </si>
  <si>
    <t>Jueces</t>
  </si>
  <si>
    <t>El delito de Guibeá</t>
  </si>
  <si>
    <t>Samuel I</t>
  </si>
  <si>
    <t>Samuel II</t>
  </si>
  <si>
    <t>Reyes</t>
  </si>
  <si>
    <t>Profetas I</t>
  </si>
  <si>
    <t>Figuras</t>
  </si>
  <si>
    <t>Profetas II</t>
  </si>
  <si>
    <t>Restauradores</t>
  </si>
  <si>
    <t>Pago de Salterios Comunidad 4ta</t>
  </si>
  <si>
    <t>Pgo Salterio</t>
  </si>
  <si>
    <t>%</t>
  </si>
  <si>
    <t>Alejandro Flaz</t>
  </si>
  <si>
    <t>(809) 426-2874</t>
  </si>
  <si>
    <t>Saltario</t>
  </si>
  <si>
    <t>Ana María Yulis</t>
  </si>
  <si>
    <t>(809) 442-1724</t>
  </si>
  <si>
    <t>Pendiente</t>
  </si>
  <si>
    <t>Angel Florentino</t>
  </si>
  <si>
    <t>(829) 528-3435</t>
  </si>
  <si>
    <t>(809) 864-0272</t>
  </si>
  <si>
    <t>Pagado</t>
  </si>
  <si>
    <t>Carlos David Baez</t>
  </si>
  <si>
    <t>(809) 805-1308</t>
  </si>
  <si>
    <t>Celeste Núñez</t>
  </si>
  <si>
    <t>(809) 442-3992</t>
  </si>
  <si>
    <t>(809) 687-7177</t>
  </si>
  <si>
    <t>Daysi Garcia</t>
  </si>
  <si>
    <t>(809) 561-3159</t>
  </si>
  <si>
    <t>Dionis E. Alcantara</t>
  </si>
  <si>
    <t>(829) 964-1681</t>
  </si>
  <si>
    <t>(829) 878-9120</t>
  </si>
  <si>
    <t>Enmanuel Gonzalez</t>
  </si>
  <si>
    <t>(809) 338-0659</t>
  </si>
  <si>
    <t>Moises Aibar</t>
  </si>
  <si>
    <t>(809) 245-0787</t>
  </si>
  <si>
    <t>(809) 772-7170</t>
  </si>
  <si>
    <t>Marcos Ventura</t>
  </si>
  <si>
    <t>(809) 818-0266</t>
  </si>
  <si>
    <t>Maria Dolores de la Cruz</t>
  </si>
  <si>
    <t>(809) 561-0991</t>
  </si>
  <si>
    <t>Mario de la Cruz</t>
  </si>
  <si>
    <t>(829) 592-6452</t>
  </si>
  <si>
    <t>Natalia García</t>
  </si>
  <si>
    <t>(809) 271-9165</t>
  </si>
  <si>
    <t>Rosa E. Dominguez</t>
  </si>
  <si>
    <t>(829) 792-6529</t>
  </si>
  <si>
    <t>Rosa Sánchez</t>
  </si>
  <si>
    <t>(809) 313-8343</t>
  </si>
  <si>
    <t>Ruth Alcantara</t>
  </si>
  <si>
    <t>(829) 981-8924</t>
  </si>
  <si>
    <t>Ruth Veras</t>
  </si>
  <si>
    <t>(809) 507-9500</t>
  </si>
  <si>
    <t>Sindy Núñez</t>
  </si>
  <si>
    <t>(829) 650-7952</t>
  </si>
  <si>
    <t>Sugey Padilla</t>
  </si>
  <si>
    <t>(829) 640-6688</t>
  </si>
  <si>
    <t>Victoria Vasquez</t>
  </si>
  <si>
    <t>(829) 379-7534</t>
  </si>
  <si>
    <t>Yulissa Peña</t>
  </si>
  <si>
    <t>(809) 603-9258</t>
  </si>
  <si>
    <t xml:space="preserve">Juan Isidro </t>
  </si>
  <si>
    <t>(809) 377-9854</t>
  </si>
  <si>
    <t>Salmo 1</t>
  </si>
  <si>
    <t>Salmo 2</t>
  </si>
  <si>
    <t>Salmo 3</t>
  </si>
  <si>
    <t>Salmo 4</t>
  </si>
  <si>
    <t>Salmo 5</t>
  </si>
  <si>
    <t>Salmo 6</t>
  </si>
  <si>
    <t>Salmo 7</t>
  </si>
  <si>
    <t>Salmo 8</t>
  </si>
  <si>
    <t>Salmo 9</t>
  </si>
  <si>
    <t>Salmo 10</t>
  </si>
  <si>
    <t>Salmo 11</t>
  </si>
  <si>
    <t>Salmo 12</t>
  </si>
  <si>
    <t>Salmo 13</t>
  </si>
  <si>
    <t>Salmo 14</t>
  </si>
  <si>
    <t>Salmo 15</t>
  </si>
  <si>
    <t>Salmo 16</t>
  </si>
  <si>
    <t>Salmo 17</t>
  </si>
  <si>
    <t>Salmo 18</t>
  </si>
  <si>
    <t>Salmo 19</t>
  </si>
  <si>
    <t>Salmo 20</t>
  </si>
  <si>
    <t>Salmo 21</t>
  </si>
  <si>
    <t>Salmo 22</t>
  </si>
  <si>
    <t>Salmo 23</t>
  </si>
  <si>
    <t>Salmo 24</t>
  </si>
  <si>
    <t>Salmo 25</t>
  </si>
  <si>
    <t>Salmo 26</t>
  </si>
  <si>
    <t>Salmo 27</t>
  </si>
  <si>
    <t>Salmo 28</t>
  </si>
  <si>
    <t>Salmo 29</t>
  </si>
  <si>
    <t>Salmo 30</t>
  </si>
  <si>
    <t>Salmo 31</t>
  </si>
  <si>
    <t>Salmo 32</t>
  </si>
  <si>
    <t>Salmo 33</t>
  </si>
  <si>
    <t>Salmo 34</t>
  </si>
  <si>
    <t>Salmo 35</t>
  </si>
  <si>
    <t>Salmo 36</t>
  </si>
  <si>
    <t>Salmo 37</t>
  </si>
  <si>
    <t>Salmo 38</t>
  </si>
  <si>
    <t>Salmo 39</t>
  </si>
  <si>
    <t>Salmo 40</t>
  </si>
  <si>
    <t>Salmo 41</t>
  </si>
  <si>
    <t>Salmo 42</t>
  </si>
  <si>
    <t>Salmo 43</t>
  </si>
  <si>
    <t>Salmo 44</t>
  </si>
  <si>
    <t>Salmo 45</t>
  </si>
  <si>
    <t>Salmo 46</t>
  </si>
  <si>
    <t>Salmo 47</t>
  </si>
  <si>
    <t>Salmo 48</t>
  </si>
  <si>
    <t>Salmo 49</t>
  </si>
  <si>
    <t>Salmo 50</t>
  </si>
  <si>
    <t>Salmo 51</t>
  </si>
  <si>
    <t>Salmo 52</t>
  </si>
  <si>
    <t>Salmo 53</t>
  </si>
  <si>
    <t>Salmo 54</t>
  </si>
  <si>
    <t>Salmo 55</t>
  </si>
  <si>
    <t>Salmo 56</t>
  </si>
  <si>
    <t>Salmo 57</t>
  </si>
  <si>
    <t>Salmo 58</t>
  </si>
  <si>
    <t>Salmo 59</t>
  </si>
  <si>
    <t>Salmo 60</t>
  </si>
  <si>
    <t>Salmo 61</t>
  </si>
  <si>
    <t>Salmo 62</t>
  </si>
  <si>
    <t>Salmo 63</t>
  </si>
  <si>
    <t>Salmo 64</t>
  </si>
  <si>
    <t>Salmo 65</t>
  </si>
  <si>
    <t>Salmo 66</t>
  </si>
  <si>
    <t>Salmo 67</t>
  </si>
  <si>
    <t>Salmo 68</t>
  </si>
  <si>
    <t>Salmo 69</t>
  </si>
  <si>
    <t>Salmo 70</t>
  </si>
  <si>
    <t>Salmo 71</t>
  </si>
  <si>
    <t>Salmo 72</t>
  </si>
  <si>
    <t>Salmo 73</t>
  </si>
  <si>
    <t>Salmo 74</t>
  </si>
  <si>
    <t>Salmo 75</t>
  </si>
  <si>
    <t>Salmo 76</t>
  </si>
  <si>
    <t>Salmo 77</t>
  </si>
  <si>
    <t>Salmo 78</t>
  </si>
  <si>
    <t>Salmo 79</t>
  </si>
  <si>
    <t>Salmo 80</t>
  </si>
  <si>
    <t>Salmo 81</t>
  </si>
  <si>
    <t>Salmo 82</t>
  </si>
  <si>
    <t>Salmo 83</t>
  </si>
  <si>
    <t>Salmo 84</t>
  </si>
  <si>
    <t>Salmo 85</t>
  </si>
  <si>
    <t>Salmo 86</t>
  </si>
  <si>
    <t>Salmo 87</t>
  </si>
  <si>
    <t>Salmo 88</t>
  </si>
  <si>
    <t>Salmo 89</t>
  </si>
  <si>
    <t>Salmo 90</t>
  </si>
  <si>
    <t>Salmo 91</t>
  </si>
  <si>
    <t>Salmo 92</t>
  </si>
  <si>
    <t>Salmo 93</t>
  </si>
  <si>
    <t>Salmo 94</t>
  </si>
  <si>
    <t>Salmo 95</t>
  </si>
  <si>
    <t>Salmo 96</t>
  </si>
  <si>
    <t>Salmo 97</t>
  </si>
  <si>
    <t>Salmo 98</t>
  </si>
  <si>
    <t>Salmo 99</t>
  </si>
  <si>
    <t>Salmo 100</t>
  </si>
  <si>
    <t>Salmo 101</t>
  </si>
  <si>
    <t>Salmo 102</t>
  </si>
  <si>
    <t>Salmo 103</t>
  </si>
  <si>
    <t>Salmo 104</t>
  </si>
  <si>
    <t>Salmo 105</t>
  </si>
  <si>
    <t>Salmo 106</t>
  </si>
  <si>
    <t>Salmo 107</t>
  </si>
  <si>
    <t>Salmo 108</t>
  </si>
  <si>
    <t>Salmo 109</t>
  </si>
  <si>
    <t>Salmo 110</t>
  </si>
  <si>
    <t>Salmo 111</t>
  </si>
  <si>
    <t>Salmo 112</t>
  </si>
  <si>
    <t>Salmo 113</t>
  </si>
  <si>
    <t>Salmo 114</t>
  </si>
  <si>
    <t>Salmo 115</t>
  </si>
  <si>
    <t>Salmo 116</t>
  </si>
  <si>
    <t>Salmo 117</t>
  </si>
  <si>
    <t>Salmo 118</t>
  </si>
  <si>
    <t>Salmo 119</t>
  </si>
  <si>
    <t>Salmo 120</t>
  </si>
  <si>
    <t>Salmo 121</t>
  </si>
  <si>
    <t>Salmo 122</t>
  </si>
  <si>
    <t>Salmo 123</t>
  </si>
  <si>
    <t>Salmo 124</t>
  </si>
  <si>
    <t>Salmo 125</t>
  </si>
  <si>
    <t>Salmo 126</t>
  </si>
  <si>
    <t>Salmo 127</t>
  </si>
  <si>
    <t>Salmo 128</t>
  </si>
  <si>
    <t>Salmo 129</t>
  </si>
  <si>
    <t>Salmo 130</t>
  </si>
  <si>
    <t>Salmo 131</t>
  </si>
  <si>
    <t>Salmo 132</t>
  </si>
  <si>
    <t>Salmo 133</t>
  </si>
  <si>
    <t>Salmo 134</t>
  </si>
  <si>
    <t>Salmo 135</t>
  </si>
  <si>
    <t>Salmo 136</t>
  </si>
  <si>
    <t>Salmo 137</t>
  </si>
  <si>
    <t>Salmo 138</t>
  </si>
  <si>
    <t>Salmo 139</t>
  </si>
  <si>
    <t>Salmo 140</t>
  </si>
  <si>
    <t>Salmo 141</t>
  </si>
  <si>
    <t>Salmo 142</t>
  </si>
  <si>
    <t>Salmo 143</t>
  </si>
  <si>
    <t>Salmo 144</t>
  </si>
  <si>
    <t>Salmo 145</t>
  </si>
  <si>
    <t>Salmo 146</t>
  </si>
  <si>
    <t>Salmo 147</t>
  </si>
  <si>
    <t>Salmo 148</t>
  </si>
  <si>
    <t>Salmo 149</t>
  </si>
  <si>
    <t>Salmo 150</t>
  </si>
  <si>
    <t>Salmos</t>
  </si>
  <si>
    <r>
      <t xml:space="preserve">Coloquese en el Campo </t>
    </r>
    <r>
      <rPr>
        <sz val="20"/>
        <color rgb="FF00B0F0"/>
        <rFont val="Calibri"/>
        <family val="2"/>
      </rPr>
      <t xml:space="preserve">Azul </t>
    </r>
    <r>
      <rPr>
        <sz val="20"/>
        <color rgb="FF000000"/>
        <rFont val="Calibri"/>
        <family val="2"/>
      </rPr>
      <t>y Seleccione un tema.</t>
    </r>
  </si>
  <si>
    <t>Celebración por las casas Salmos/Escrutacio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</si>
</sst>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dddd\,\ mmmm\ dd\,\ yyyy"/>
    <numFmt numFmtId="165" formatCode="\(###\)\ ###\-####"/>
    <numFmt numFmtId="166" formatCode="[$-409]d\-mmm"/>
    <numFmt numFmtId="167" formatCode="&quot;Grupo &quot;General"/>
    <numFmt numFmtId="168" formatCode="&quot;Pagos:&quot;\ General"/>
    <numFmt numFmtId="169" formatCode="&quot;Pendientes: &quot;General"/>
    <numFmt numFmtId="170" formatCode="&quot;N/A: &quot;General"/>
  </numFmts>
  <fonts count="34" x14ac:knownFonts="1">
    <font>
      <sz val="11"/>
      <color rgb="FF000000"/>
      <name val="Calibri"/>
      <scheme val="minor"/>
    </font>
    <font>
      <b/>
      <sz val="36"/>
      <color theme="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</font>
    <font>
      <b/>
      <sz val="10"/>
      <color theme="0"/>
      <name val="Arial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b/>
      <sz val="20"/>
      <color rgb="FF000000"/>
      <name val="Calibri"/>
      <family val="2"/>
    </font>
    <font>
      <b/>
      <sz val="20"/>
      <color theme="1"/>
      <name val="Calibri"/>
      <family val="2"/>
    </font>
    <font>
      <u/>
      <sz val="11"/>
      <color rgb="FF000000"/>
      <name val="Calibri"/>
      <family val="2"/>
    </font>
    <font>
      <b/>
      <sz val="26"/>
      <color theme="0"/>
      <name val="Calibri"/>
      <family val="2"/>
    </font>
    <font>
      <b/>
      <sz val="26"/>
      <color theme="1"/>
      <name val="Calibri"/>
      <family val="2"/>
    </font>
    <font>
      <sz val="26"/>
      <color theme="1"/>
      <name val="Calibri"/>
      <family val="2"/>
    </font>
    <font>
      <b/>
      <sz val="14"/>
      <color theme="0"/>
      <name val="Calibri"/>
      <family val="2"/>
    </font>
    <font>
      <b/>
      <sz val="18"/>
      <color rgb="FFFFFFFF"/>
      <name val="Calibri"/>
      <family val="2"/>
    </font>
    <font>
      <b/>
      <sz val="18"/>
      <color theme="0"/>
      <name val="Calibri"/>
      <family val="2"/>
    </font>
    <font>
      <sz val="14"/>
      <color rgb="FF000000"/>
      <name val="Calibri"/>
      <family val="2"/>
    </font>
    <font>
      <sz val="20"/>
      <color rgb="FF000000"/>
      <name val="Calibri"/>
      <family val="2"/>
    </font>
    <font>
      <b/>
      <sz val="11"/>
      <color rgb="FFFFFFFF"/>
      <name val="Calibri"/>
      <family val="2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26"/>
      <color rgb="FFFFFFFF"/>
      <name val="Calibri"/>
      <family val="2"/>
    </font>
    <font>
      <b/>
      <sz val="48"/>
      <color theme="0"/>
      <name val="Calibri"/>
      <family val="2"/>
    </font>
    <font>
      <b/>
      <sz val="16"/>
      <color theme="0"/>
      <name val="Calibri"/>
      <family val="2"/>
    </font>
    <font>
      <sz val="11"/>
      <color rgb="FFFF0000"/>
      <name val="Calibri"/>
      <family val="2"/>
    </font>
    <font>
      <b/>
      <sz val="11"/>
      <color rgb="FF00B0F0"/>
      <name val="Calibri"/>
      <family val="2"/>
    </font>
    <font>
      <sz val="20"/>
      <color rgb="FF00B0F0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24"/>
      <color rgb="FF000000"/>
      <name val="Calibri"/>
      <family val="2"/>
    </font>
    <font>
      <sz val="14"/>
      <color rgb="FF0070C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</fills>
  <borders count="7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double">
        <color theme="0"/>
      </left>
      <right/>
      <top style="double">
        <color theme="0"/>
      </top>
      <bottom style="double">
        <color theme="0"/>
      </bottom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/>
      <right/>
      <top style="medium">
        <color theme="0"/>
      </top>
      <bottom style="double">
        <color theme="0"/>
      </bottom>
      <diagonal/>
    </border>
    <border>
      <left/>
      <right/>
      <top style="medium">
        <color theme="0"/>
      </top>
      <bottom style="double">
        <color theme="0"/>
      </bottom>
      <diagonal/>
    </border>
    <border>
      <left/>
      <right style="double">
        <color theme="0"/>
      </right>
      <top style="medium">
        <color theme="0"/>
      </top>
      <bottom style="double">
        <color theme="0"/>
      </bottom>
      <diagonal/>
    </border>
    <border>
      <left/>
      <right style="double">
        <color theme="0"/>
      </right>
      <top/>
      <bottom/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/>
      <diagonal/>
    </border>
    <border>
      <left/>
      <right style="double">
        <color theme="0"/>
      </right>
      <top style="double">
        <color theme="0"/>
      </top>
      <bottom/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rgb="FF000000"/>
      </bottom>
      <diagonal/>
    </border>
    <border>
      <left/>
      <right style="double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theme="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theme="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theme="0"/>
      </bottom>
      <diagonal/>
    </border>
    <border>
      <left/>
      <right style="double">
        <color rgb="FF000000"/>
      </right>
      <top style="double">
        <color theme="0"/>
      </top>
      <bottom style="double">
        <color theme="0"/>
      </bottom>
      <diagonal/>
    </border>
    <border>
      <left style="double">
        <color rgb="FF000000"/>
      </left>
      <right style="double">
        <color rgb="FF000000"/>
      </right>
      <top style="double">
        <color theme="0"/>
      </top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theme="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/>
      <diagonal/>
    </border>
    <border>
      <left style="double">
        <color theme="0"/>
      </left>
      <right style="double">
        <color rgb="FF000000"/>
      </right>
      <top style="double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tted">
        <color rgb="FF000000"/>
      </bottom>
      <diagonal/>
    </border>
    <border>
      <left/>
      <right/>
      <top style="double">
        <color rgb="FF000000"/>
      </top>
      <bottom style="dotted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tted">
        <color rgb="FF000000"/>
      </bottom>
      <diagonal/>
    </border>
    <border>
      <left style="double">
        <color theme="0"/>
      </left>
      <right style="double">
        <color theme="0"/>
      </right>
      <top/>
      <bottom/>
      <diagonal/>
    </border>
    <border>
      <left style="double">
        <color theme="0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theme="0"/>
      </left>
      <right style="double">
        <color theme="0"/>
      </right>
      <top/>
      <bottom style="double">
        <color theme="0"/>
      </bottom>
      <diagonal/>
    </border>
    <border>
      <left style="double">
        <color theme="0"/>
      </left>
      <right style="double">
        <color rgb="FF000000"/>
      </right>
      <top style="dott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tted">
        <color rgb="FF000000"/>
      </top>
      <bottom style="double">
        <color rgb="FF000000"/>
      </bottom>
      <diagonal/>
    </border>
    <border>
      <left/>
      <right/>
      <top style="dotted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tted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theme="0"/>
      </top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/>
      <right/>
      <top style="double">
        <color theme="0"/>
      </top>
      <bottom/>
      <diagonal/>
    </border>
    <border>
      <left/>
      <right style="double">
        <color rgb="FF000000"/>
      </right>
      <top style="double">
        <color theme="0"/>
      </top>
      <bottom/>
      <diagonal/>
    </border>
    <border>
      <left style="double">
        <color theme="0"/>
      </left>
      <right style="double">
        <color theme="0"/>
      </right>
      <top/>
      <bottom/>
      <diagonal/>
    </border>
    <border>
      <left style="dotted">
        <color rgb="FF000000"/>
      </left>
      <right style="double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uble">
        <color rgb="FF000000"/>
      </right>
      <top style="dotted">
        <color rgb="FF000000"/>
      </top>
      <bottom style="double">
        <color rgb="FF000000"/>
      </bottom>
      <diagonal/>
    </border>
    <border>
      <left style="double">
        <color theme="0"/>
      </left>
      <right/>
      <top/>
      <bottom style="double">
        <color theme="0"/>
      </bottom>
      <diagonal/>
    </border>
    <border>
      <left/>
      <right/>
      <top/>
      <bottom style="double">
        <color theme="0"/>
      </bottom>
      <diagonal/>
    </border>
    <border>
      <left/>
      <right/>
      <top/>
      <bottom style="double">
        <color theme="0"/>
      </bottom>
      <diagonal/>
    </border>
    <border>
      <left style="double">
        <color theme="0"/>
      </left>
      <right style="double">
        <color rgb="FF000000"/>
      </right>
      <top style="double">
        <color theme="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theme="0"/>
      </left>
      <right/>
      <top style="double">
        <color theme="0"/>
      </top>
      <bottom/>
      <diagonal/>
    </border>
    <border>
      <left style="double">
        <color theme="0"/>
      </left>
      <right/>
      <top/>
      <bottom/>
      <diagonal/>
    </border>
    <border>
      <left style="double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/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theme="0"/>
      </left>
      <right/>
      <top style="double">
        <color theme="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theme="0"/>
      </left>
      <right/>
      <top/>
      <bottom/>
      <diagonal/>
    </border>
    <border>
      <left style="double">
        <color theme="0"/>
      </left>
      <right/>
      <top/>
      <bottom style="double">
        <color theme="0"/>
      </bottom>
      <diagonal/>
    </border>
    <border>
      <left style="dotted">
        <color rgb="FF000000"/>
      </left>
      <right style="double">
        <color rgb="FF000000"/>
      </right>
      <top style="dotted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46">
    <xf numFmtId="0" fontId="0" fillId="0" borderId="0" xfId="0" applyFont="1" applyAlignment="1"/>
    <xf numFmtId="164" fontId="3" fillId="0" borderId="6" xfId="0" applyNumberFormat="1" applyFont="1" applyBorder="1" applyAlignment="1">
      <alignment horizontal="right"/>
    </xf>
    <xf numFmtId="0" fontId="4" fillId="0" borderId="6" xfId="0" applyFont="1" applyBorder="1"/>
    <xf numFmtId="164" fontId="3" fillId="3" borderId="6" xfId="0" applyNumberFormat="1" applyFont="1" applyFill="1" applyBorder="1" applyAlignment="1">
      <alignment horizontal="right"/>
    </xf>
    <xf numFmtId="0" fontId="4" fillId="3" borderId="6" xfId="0" applyFont="1" applyFill="1" applyBorder="1"/>
    <xf numFmtId="0" fontId="6" fillId="2" borderId="8" xfId="0" applyFont="1" applyFill="1" applyBorder="1" applyAlignment="1">
      <alignment horizontal="center"/>
    </xf>
    <xf numFmtId="0" fontId="4" fillId="0" borderId="10" xfId="0" applyFont="1" applyBorder="1"/>
    <xf numFmtId="0" fontId="4" fillId="0" borderId="5" xfId="0" applyFont="1" applyBorder="1"/>
    <xf numFmtId="165" fontId="4" fillId="0" borderId="6" xfId="0" applyNumberFormat="1" applyFont="1" applyBorder="1"/>
    <xf numFmtId="0" fontId="4" fillId="3" borderId="8" xfId="0" applyFont="1" applyFill="1" applyBorder="1"/>
    <xf numFmtId="0" fontId="4" fillId="3" borderId="12" xfId="0" applyFont="1" applyFill="1" applyBorder="1"/>
    <xf numFmtId="165" fontId="4" fillId="3" borderId="6" xfId="0" applyNumberFormat="1" applyFont="1" applyFill="1" applyBorder="1"/>
    <xf numFmtId="165" fontId="3" fillId="0" borderId="0" xfId="0" applyNumberFormat="1" applyFont="1"/>
    <xf numFmtId="166" fontId="3" fillId="0" borderId="0" xfId="0" applyNumberFormat="1" applyFont="1" applyAlignment="1">
      <alignment horizontal="right"/>
    </xf>
    <xf numFmtId="0" fontId="7" fillId="0" borderId="0" xfId="0" applyFont="1"/>
    <xf numFmtId="166" fontId="7" fillId="0" borderId="0" xfId="0" applyNumberFormat="1" applyFont="1" applyAlignment="1">
      <alignment horizontal="left"/>
    </xf>
    <xf numFmtId="0" fontId="3" fillId="0" borderId="0" xfId="0" applyFont="1"/>
    <xf numFmtId="0" fontId="8" fillId="0" borderId="0" xfId="0" applyFont="1"/>
    <xf numFmtId="0" fontId="9" fillId="0" borderId="0" xfId="0" applyFont="1" applyAlignment="1">
      <alignment horizontal="left"/>
    </xf>
    <xf numFmtId="0" fontId="8" fillId="0" borderId="0" xfId="0" applyFont="1"/>
    <xf numFmtId="165" fontId="3" fillId="0" borderId="0" xfId="0" applyNumberFormat="1" applyFont="1"/>
    <xf numFmtId="166" fontId="3" fillId="0" borderId="0" xfId="0" applyNumberFormat="1" applyFont="1" applyAlignment="1">
      <alignment horizontal="right"/>
    </xf>
    <xf numFmtId="0" fontId="3" fillId="4" borderId="13" xfId="0" applyFont="1" applyFill="1" applyBorder="1" applyAlignment="1">
      <alignment horizontal="left"/>
    </xf>
    <xf numFmtId="165" fontId="8" fillId="0" borderId="0" xfId="0" applyNumberFormat="1" applyFont="1"/>
    <xf numFmtId="0" fontId="3" fillId="0" borderId="0" xfId="0" applyFont="1"/>
    <xf numFmtId="0" fontId="3" fillId="0" borderId="6" xfId="0" applyFont="1" applyBorder="1"/>
    <xf numFmtId="0" fontId="10" fillId="0" borderId="6" xfId="0" applyFont="1" applyBorder="1"/>
    <xf numFmtId="0" fontId="11" fillId="3" borderId="6" xfId="0" applyFont="1" applyFill="1" applyBorder="1"/>
    <xf numFmtId="0" fontId="8" fillId="0" borderId="6" xfId="0" applyFont="1" applyBorder="1"/>
    <xf numFmtId="0" fontId="8" fillId="3" borderId="6" xfId="0" applyFont="1" applyFill="1" applyBorder="1"/>
    <xf numFmtId="0" fontId="12" fillId="0" borderId="6" xfId="0" applyFont="1" applyBorder="1"/>
    <xf numFmtId="0" fontId="10" fillId="3" borderId="6" xfId="0" applyFont="1" applyFill="1" applyBorder="1"/>
    <xf numFmtId="0" fontId="3" fillId="3" borderId="6" xfId="0" applyFont="1" applyFill="1" applyBorder="1"/>
    <xf numFmtId="0" fontId="3" fillId="0" borderId="19" xfId="0" applyFont="1" applyBorder="1"/>
    <xf numFmtId="167" fontId="13" fillId="2" borderId="20" xfId="0" applyNumberFormat="1" applyFont="1" applyFill="1" applyBorder="1" applyAlignment="1">
      <alignment horizontal="center"/>
    </xf>
    <xf numFmtId="167" fontId="13" fillId="2" borderId="21" xfId="0" applyNumberFormat="1" applyFont="1" applyFill="1" applyBorder="1" applyAlignment="1">
      <alignment horizontal="center"/>
    </xf>
    <xf numFmtId="167" fontId="13" fillId="2" borderId="22" xfId="0" applyNumberFormat="1" applyFont="1" applyFill="1" applyBorder="1" applyAlignment="1">
      <alignment horizontal="center"/>
    </xf>
    <xf numFmtId="167" fontId="13" fillId="2" borderId="23" xfId="0" applyNumberFormat="1" applyFont="1" applyFill="1" applyBorder="1" applyAlignment="1">
      <alignment horizontal="center"/>
    </xf>
    <xf numFmtId="0" fontId="3" fillId="0" borderId="24" xfId="0" applyFont="1" applyBorder="1"/>
    <xf numFmtId="0" fontId="13" fillId="2" borderId="25" xfId="0" applyFont="1" applyFill="1" applyBorder="1" applyAlignment="1">
      <alignment horizontal="center"/>
    </xf>
    <xf numFmtId="0" fontId="14" fillId="5" borderId="26" xfId="0" applyFont="1" applyFill="1" applyBorder="1" applyAlignment="1">
      <alignment horizontal="center"/>
    </xf>
    <xf numFmtId="0" fontId="15" fillId="5" borderId="27" xfId="0" applyFont="1" applyFill="1" applyBorder="1" applyAlignment="1">
      <alignment horizontal="center"/>
    </xf>
    <xf numFmtId="0" fontId="14" fillId="5" borderId="27" xfId="0" applyFont="1" applyFill="1" applyBorder="1" applyAlignment="1">
      <alignment horizontal="center"/>
    </xf>
    <xf numFmtId="0" fontId="14" fillId="5" borderId="28" xfId="0" applyFont="1" applyFill="1" applyBorder="1" applyAlignment="1">
      <alignment horizontal="center"/>
    </xf>
    <xf numFmtId="167" fontId="14" fillId="5" borderId="29" xfId="0" applyNumberFormat="1" applyFont="1" applyFill="1" applyBorder="1" applyAlignment="1">
      <alignment horizontal="center"/>
    </xf>
    <xf numFmtId="0" fontId="14" fillId="5" borderId="30" xfId="0" applyFont="1" applyFill="1" applyBorder="1" applyAlignment="1">
      <alignment horizontal="center"/>
    </xf>
    <xf numFmtId="0" fontId="14" fillId="5" borderId="31" xfId="0" applyFont="1" applyFill="1" applyBorder="1" applyAlignment="1">
      <alignment horizontal="center"/>
    </xf>
    <xf numFmtId="0" fontId="16" fillId="6" borderId="32" xfId="0" applyFont="1" applyFill="1" applyBorder="1" applyAlignment="1">
      <alignment horizontal="center" vertical="center" wrapText="1"/>
    </xf>
    <xf numFmtId="0" fontId="17" fillId="6" borderId="33" xfId="0" applyFont="1" applyFill="1" applyBorder="1" applyAlignment="1">
      <alignment horizontal="center" vertical="center" wrapText="1"/>
    </xf>
    <xf numFmtId="0" fontId="17" fillId="6" borderId="34" xfId="0" applyFont="1" applyFill="1" applyBorder="1" applyAlignment="1">
      <alignment horizontal="center" vertical="center" wrapText="1"/>
    </xf>
    <xf numFmtId="0" fontId="18" fillId="6" borderId="34" xfId="0" applyFont="1" applyFill="1" applyBorder="1" applyAlignment="1">
      <alignment horizontal="center" vertical="center" wrapText="1"/>
    </xf>
    <xf numFmtId="0" fontId="18" fillId="6" borderId="31" xfId="0" applyFont="1" applyFill="1" applyBorder="1" applyAlignment="1">
      <alignment horizontal="center" vertical="center" wrapText="1"/>
    </xf>
    <xf numFmtId="0" fontId="19" fillId="3" borderId="36" xfId="0" applyFont="1" applyFill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3" borderId="37" xfId="0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19" fillId="3" borderId="42" xfId="0" applyFont="1" applyFill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3" borderId="43" xfId="0" applyFont="1" applyFill="1" applyBorder="1" applyAlignment="1">
      <alignment horizontal="center" vertical="center" wrapText="1"/>
    </xf>
    <xf numFmtId="0" fontId="19" fillId="3" borderId="44" xfId="0" applyFont="1" applyFill="1" applyBorder="1" applyAlignment="1">
      <alignment horizontal="center" vertical="center" wrapText="1"/>
    </xf>
    <xf numFmtId="0" fontId="19" fillId="3" borderId="41" xfId="0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3" borderId="48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3" borderId="49" xfId="0" applyFont="1" applyFill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3" borderId="51" xfId="0" applyFont="1" applyFill="1" applyBorder="1" applyAlignment="1">
      <alignment horizontal="center" vertical="center" wrapText="1"/>
    </xf>
    <xf numFmtId="0" fontId="3" fillId="7" borderId="13" xfId="0" applyFont="1" applyFill="1" applyBorder="1"/>
    <xf numFmtId="0" fontId="5" fillId="7" borderId="6" xfId="0" applyFont="1" applyFill="1" applyBorder="1"/>
    <xf numFmtId="0" fontId="22" fillId="3" borderId="6" xfId="0" applyFont="1" applyFill="1" applyBorder="1"/>
    <xf numFmtId="0" fontId="23" fillId="3" borderId="6" xfId="0" applyFont="1" applyFill="1" applyBorder="1"/>
    <xf numFmtId="0" fontId="13" fillId="2" borderId="56" xfId="0" applyFont="1" applyFill="1" applyBorder="1" applyAlignment="1">
      <alignment horizontal="center"/>
    </xf>
    <xf numFmtId="0" fontId="13" fillId="2" borderId="57" xfId="0" applyFont="1" applyFill="1" applyBorder="1" applyAlignment="1">
      <alignment horizontal="center"/>
    </xf>
    <xf numFmtId="0" fontId="13" fillId="2" borderId="23" xfId="0" applyFont="1" applyFill="1" applyBorder="1" applyAlignment="1">
      <alignment horizontal="center"/>
    </xf>
    <xf numFmtId="0" fontId="13" fillId="2" borderId="22" xfId="0" applyFont="1" applyFill="1" applyBorder="1" applyAlignment="1">
      <alignment horizontal="center"/>
    </xf>
    <xf numFmtId="0" fontId="13" fillId="2" borderId="58" xfId="0" applyFont="1" applyFill="1" applyBorder="1" applyAlignment="1">
      <alignment horizontal="center"/>
    </xf>
    <xf numFmtId="0" fontId="19" fillId="3" borderId="60" xfId="0" applyFont="1" applyFill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0" fontId="19" fillId="3" borderId="61" xfId="0" applyFont="1" applyFill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13" fillId="2" borderId="66" xfId="0" applyFont="1" applyFill="1" applyBorder="1" applyAlignment="1">
      <alignment horizontal="center"/>
    </xf>
    <xf numFmtId="167" fontId="13" fillId="2" borderId="67" xfId="0" applyNumberFormat="1" applyFont="1" applyFill="1" applyBorder="1" applyAlignment="1">
      <alignment horizontal="center"/>
    </xf>
    <xf numFmtId="167" fontId="13" fillId="2" borderId="68" xfId="0" applyNumberFormat="1" applyFont="1" applyFill="1" applyBorder="1" applyAlignment="1">
      <alignment horizontal="center"/>
    </xf>
    <xf numFmtId="167" fontId="13" fillId="2" borderId="13" xfId="0" applyNumberFormat="1" applyFont="1" applyFill="1" applyBorder="1" applyAlignment="1">
      <alignment horizontal="center"/>
    </xf>
    <xf numFmtId="0" fontId="3" fillId="0" borderId="69" xfId="0" applyFont="1" applyBorder="1"/>
    <xf numFmtId="0" fontId="13" fillId="2" borderId="13" xfId="0" applyFont="1" applyFill="1" applyBorder="1" applyAlignment="1">
      <alignment horizontal="center"/>
    </xf>
    <xf numFmtId="0" fontId="8" fillId="0" borderId="70" xfId="0" applyFont="1" applyBorder="1"/>
    <xf numFmtId="0" fontId="8" fillId="0" borderId="24" xfId="0" applyFont="1" applyBorder="1"/>
    <xf numFmtId="0" fontId="16" fillId="8" borderId="71" xfId="0" applyFont="1" applyFill="1" applyBorder="1" applyAlignment="1">
      <alignment horizontal="center" vertical="center" wrapText="1"/>
    </xf>
    <xf numFmtId="0" fontId="18" fillId="8" borderId="72" xfId="0" applyFont="1" applyFill="1" applyBorder="1" applyAlignment="1">
      <alignment horizontal="center" vertical="center" wrapText="1"/>
    </xf>
    <xf numFmtId="0" fontId="18" fillId="8" borderId="73" xfId="0" applyFont="1" applyFill="1" applyBorder="1" applyAlignment="1">
      <alignment horizontal="center" vertical="center" wrapText="1"/>
    </xf>
    <xf numFmtId="0" fontId="19" fillId="0" borderId="75" xfId="0" applyFont="1" applyBorder="1" applyAlignment="1">
      <alignment horizontal="center" vertical="center" wrapText="1"/>
    </xf>
    <xf numFmtId="0" fontId="19" fillId="0" borderId="78" xfId="0" applyFont="1" applyBorder="1" applyAlignment="1">
      <alignment horizontal="center" vertical="center" wrapText="1"/>
    </xf>
    <xf numFmtId="0" fontId="19" fillId="3" borderId="78" xfId="0" applyFont="1" applyFill="1" applyBorder="1" applyAlignment="1">
      <alignment horizontal="center" vertical="center" wrapText="1"/>
    </xf>
    <xf numFmtId="168" fontId="3" fillId="0" borderId="0" xfId="0" applyNumberFormat="1" applyFont="1"/>
    <xf numFmtId="169" fontId="3" fillId="0" borderId="0" xfId="0" applyNumberFormat="1" applyFont="1"/>
    <xf numFmtId="170" fontId="3" fillId="0" borderId="0" xfId="0" applyNumberFormat="1" applyFont="1"/>
    <xf numFmtId="0" fontId="27" fillId="0" borderId="0" xfId="0" applyFont="1"/>
    <xf numFmtId="0" fontId="28" fillId="0" borderId="0" xfId="0" applyFont="1"/>
    <xf numFmtId="9" fontId="3" fillId="0" borderId="0" xfId="0" applyNumberFormat="1" applyFont="1"/>
    <xf numFmtId="0" fontId="5" fillId="2" borderId="4" xfId="0" applyFont="1" applyFill="1" applyBorder="1" applyAlignment="1">
      <alignment horizontal="center"/>
    </xf>
    <xf numFmtId="0" fontId="2" fillId="0" borderId="7" xfId="0" applyFont="1" applyBorder="1"/>
    <xf numFmtId="0" fontId="6" fillId="2" borderId="9" xfId="0" applyFont="1" applyFill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3" fillId="0" borderId="4" xfId="0" applyFont="1" applyBorder="1"/>
    <xf numFmtId="0" fontId="3" fillId="3" borderId="4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164" fontId="3" fillId="0" borderId="4" xfId="0" applyNumberFormat="1" applyFont="1" applyBorder="1" applyAlignment="1">
      <alignment horizontal="right"/>
    </xf>
    <xf numFmtId="164" fontId="3" fillId="3" borderId="4" xfId="0" applyNumberFormat="1" applyFont="1" applyFill="1" applyBorder="1" applyAlignment="1">
      <alignment horizontal="right"/>
    </xf>
    <xf numFmtId="0" fontId="13" fillId="2" borderId="14" xfId="0" applyFont="1" applyFill="1" applyBorder="1" applyAlignment="1">
      <alignment horizontal="center"/>
    </xf>
    <xf numFmtId="0" fontId="2" fillId="0" borderId="15" xfId="0" applyFont="1" applyBorder="1"/>
    <xf numFmtId="0" fontId="13" fillId="2" borderId="16" xfId="0" applyFont="1" applyFill="1" applyBorder="1" applyAlignment="1">
      <alignment horizontal="center"/>
    </xf>
    <xf numFmtId="0" fontId="2" fillId="0" borderId="17" xfId="0" applyFont="1" applyBorder="1"/>
    <xf numFmtId="0" fontId="2" fillId="0" borderId="18" xfId="0" applyFont="1" applyBorder="1"/>
    <xf numFmtId="0" fontId="16" fillId="2" borderId="35" xfId="0" applyFont="1" applyFill="1" applyBorder="1" applyAlignment="1">
      <alignment horizontal="center" vertical="center" wrapText="1"/>
    </xf>
    <xf numFmtId="0" fontId="2" fillId="0" borderId="40" xfId="0" applyFont="1" applyBorder="1"/>
    <xf numFmtId="0" fontId="2" fillId="0" borderId="47" xfId="0" applyFont="1" applyBorder="1"/>
    <xf numFmtId="0" fontId="20" fillId="0" borderId="0" xfId="0" applyFont="1" applyAlignment="1">
      <alignment horizontal="center"/>
    </xf>
    <xf numFmtId="0" fontId="0" fillId="0" borderId="0" xfId="0" applyFont="1" applyAlignment="1"/>
    <xf numFmtId="0" fontId="21" fillId="2" borderId="52" xfId="0" applyFont="1" applyFill="1" applyBorder="1" applyAlignment="1">
      <alignment horizontal="left"/>
    </xf>
    <xf numFmtId="0" fontId="2" fillId="0" borderId="53" xfId="0" applyFont="1" applyBorder="1"/>
    <xf numFmtId="0" fontId="2" fillId="0" borderId="54" xfId="0" applyFont="1" applyBorder="1"/>
    <xf numFmtId="0" fontId="2" fillId="0" borderId="55" xfId="0" applyFont="1" applyBorder="1"/>
    <xf numFmtId="0" fontId="16" fillId="2" borderId="59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/>
    </xf>
    <xf numFmtId="0" fontId="25" fillId="8" borderId="63" xfId="0" applyFont="1" applyFill="1" applyBorder="1" applyAlignment="1">
      <alignment horizontal="center"/>
    </xf>
    <xf numFmtId="0" fontId="2" fillId="0" borderId="64" xfId="0" applyFont="1" applyBorder="1"/>
    <xf numFmtId="0" fontId="2" fillId="0" borderId="65" xfId="0" applyFont="1" applyBorder="1"/>
    <xf numFmtId="0" fontId="16" fillId="2" borderId="74" xfId="0" applyFont="1" applyFill="1" applyBorder="1" applyAlignment="1">
      <alignment horizontal="center" vertical="center" wrapText="1"/>
    </xf>
    <xf numFmtId="0" fontId="2" fillId="0" borderId="76" xfId="0" applyFont="1" applyBorder="1"/>
    <xf numFmtId="0" fontId="2" fillId="0" borderId="77" xfId="0" applyFont="1" applyBorder="1"/>
    <xf numFmtId="0" fontId="26" fillId="2" borderId="1" xfId="0" applyFont="1" applyFill="1" applyBorder="1" applyAlignment="1">
      <alignment horizontal="center"/>
    </xf>
    <xf numFmtId="0" fontId="30" fillId="0" borderId="0" xfId="0" applyFont="1" applyAlignment="1"/>
    <xf numFmtId="0" fontId="3" fillId="0" borderId="0" xfId="0" applyFont="1" applyAlignment="1"/>
    <xf numFmtId="0" fontId="32" fillId="7" borderId="13" xfId="0" applyFont="1" applyFill="1" applyBorder="1"/>
    <xf numFmtId="0" fontId="33" fillId="3" borderId="37" xfId="0" applyFont="1" applyFill="1" applyBorder="1" applyAlignment="1">
      <alignment horizontal="center" vertical="center" wrapText="1"/>
    </xf>
    <xf numFmtId="0" fontId="33" fillId="3" borderId="42" xfId="0" applyFont="1" applyFill="1" applyBorder="1" applyAlignment="1">
      <alignment horizontal="center" vertical="center" wrapText="1"/>
    </xf>
    <xf numFmtId="0" fontId="33" fillId="3" borderId="60" xfId="0" applyFont="1" applyFill="1" applyBorder="1" applyAlignment="1">
      <alignment horizontal="center" vertical="center" wrapText="1"/>
    </xf>
    <xf numFmtId="0" fontId="33" fillId="3" borderId="6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2">
    <tableStyle name="Listado Hermanos Grupo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Pago Salterio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3:L59">
  <tableColumns count="12">
    <tableColumn id="1" xr3:uid="{00000000-0010-0000-0000-000001000000}" name="Orden Alfabetico"/>
    <tableColumn id="2" xr3:uid="{00000000-0010-0000-0000-000002000000}" name="NOMBRE Y APELLIDO"/>
    <tableColumn id="3" xr3:uid="{00000000-0010-0000-0000-000003000000}" name="Column1"/>
    <tableColumn id="4" xr3:uid="{00000000-0010-0000-0000-000004000000}" name="TELÉFONO"/>
    <tableColumn id="5" xr3:uid="{00000000-0010-0000-0000-000005000000}" name="TELÉFONO2"/>
    <tableColumn id="6" xr3:uid="{00000000-0010-0000-0000-000006000000}" name="Cumpleaños dd/mm"/>
    <tableColumn id="7" xr3:uid="{00000000-0010-0000-0000-000007000000}" name="Realidad"/>
    <tableColumn id="8" xr3:uid="{00000000-0010-0000-0000-000008000000}" name="Parejas"/>
    <tableColumn id="9" xr3:uid="{00000000-0010-0000-0000-000009000000}" name="Sorteo"/>
    <tableColumn id="10" xr3:uid="{00000000-0010-0000-0000-00000A000000}" name="Hermanos"/>
    <tableColumn id="11" xr3:uid="{00000000-0010-0000-0000-00000B000000}" name="Matrimonio"/>
    <tableColumn id="12" xr3:uid="{00000000-0010-0000-0000-00000C000000}" name="Santerio"/>
  </tableColumns>
  <tableStyleInfo name="Listado Hermanos Grup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E30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Pago Salter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A1001"/>
  <sheetViews>
    <sheetView workbookViewId="0">
      <selection activeCell="B35" sqref="B35"/>
    </sheetView>
  </sheetViews>
  <sheetFormatPr defaultColWidth="14.42578125" defaultRowHeight="15" customHeight="1" x14ac:dyDescent="0.25"/>
  <cols>
    <col min="1" max="1" width="18.28515625" customWidth="1"/>
    <col min="2" max="2" width="33.7109375" customWidth="1"/>
    <col min="3" max="4" width="18" customWidth="1"/>
    <col min="5" max="5" width="15.140625" customWidth="1"/>
    <col min="6" max="6" width="21.42578125" customWidth="1"/>
    <col min="7" max="7" width="11.42578125" hidden="1" customWidth="1"/>
    <col min="8" max="8" width="9.7109375" hidden="1" customWidth="1"/>
    <col min="9" max="9" width="9.140625" hidden="1" customWidth="1"/>
    <col min="10" max="10" width="12.28515625" hidden="1" customWidth="1"/>
    <col min="11" max="11" width="15.140625" hidden="1" customWidth="1"/>
    <col min="12" max="12" width="15.140625" customWidth="1"/>
    <col min="13" max="13" width="28.28515625" customWidth="1"/>
    <col min="14" max="27" width="15.140625" customWidth="1"/>
  </cols>
  <sheetData>
    <row r="1" spans="1:14" ht="46.5" x14ac:dyDescent="0.7">
      <c r="A1" s="110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2"/>
    </row>
    <row r="2" spans="1:14" x14ac:dyDescent="0.25">
      <c r="A2" s="108" t="s">
        <v>1</v>
      </c>
      <c r="B2" s="113"/>
      <c r="C2" s="1"/>
      <c r="D2" s="114">
        <v>38326</v>
      </c>
      <c r="E2" s="113"/>
      <c r="F2" s="2">
        <f t="shared" ref="F2:F4" ca="1" si="0">YEAR(TODAY())-(YEAR(D2))</f>
        <v>20</v>
      </c>
    </row>
    <row r="3" spans="1:14" x14ac:dyDescent="0.25">
      <c r="A3" s="109" t="s">
        <v>2</v>
      </c>
      <c r="B3" s="113"/>
      <c r="C3" s="3"/>
      <c r="D3" s="115">
        <v>39516</v>
      </c>
      <c r="E3" s="113"/>
      <c r="F3" s="4">
        <f t="shared" ca="1" si="0"/>
        <v>16</v>
      </c>
    </row>
    <row r="4" spans="1:14" x14ac:dyDescent="0.25">
      <c r="A4" s="108" t="s">
        <v>3</v>
      </c>
      <c r="B4" s="113"/>
      <c r="C4" s="1"/>
      <c r="D4" s="114">
        <v>44976</v>
      </c>
      <c r="E4" s="113"/>
      <c r="F4" s="2">
        <f t="shared" ca="1" si="0"/>
        <v>1</v>
      </c>
    </row>
    <row r="5" spans="1:14" x14ac:dyDescent="0.25">
      <c r="A5" s="103" t="s">
        <v>4</v>
      </c>
      <c r="B5" s="104"/>
      <c r="C5" s="5"/>
      <c r="D5" s="105" t="s">
        <v>5</v>
      </c>
      <c r="E5" s="106"/>
      <c r="F5" s="106"/>
      <c r="G5" s="107"/>
    </row>
    <row r="6" spans="1:14" x14ac:dyDescent="0.25">
      <c r="A6" s="108" t="s">
        <v>6</v>
      </c>
      <c r="B6" s="104"/>
      <c r="C6" s="6"/>
      <c r="D6" s="7" t="s">
        <v>7</v>
      </c>
      <c r="E6" s="8">
        <v>8299128566</v>
      </c>
      <c r="F6" s="8">
        <v>8099373926</v>
      </c>
    </row>
    <row r="7" spans="1:14" x14ac:dyDescent="0.25">
      <c r="A7" s="109" t="s">
        <v>8</v>
      </c>
      <c r="B7" s="104"/>
      <c r="C7" s="9"/>
      <c r="D7" s="10" t="s">
        <v>9</v>
      </c>
      <c r="E7" s="11">
        <v>8092385491</v>
      </c>
      <c r="F7" s="11"/>
    </row>
    <row r="8" spans="1:14" x14ac:dyDescent="0.25">
      <c r="A8" s="108" t="s">
        <v>10</v>
      </c>
      <c r="B8" s="104"/>
      <c r="C8" s="6"/>
      <c r="D8" s="7" t="s">
        <v>11</v>
      </c>
      <c r="E8" s="8">
        <v>8099638717</v>
      </c>
      <c r="F8" s="8"/>
    </row>
    <row r="9" spans="1:14" x14ac:dyDescent="0.25">
      <c r="A9" s="109" t="s">
        <v>12</v>
      </c>
      <c r="B9" s="104"/>
      <c r="C9" s="9"/>
      <c r="D9" s="10" t="s">
        <v>13</v>
      </c>
      <c r="E9" s="11">
        <v>8499152003</v>
      </c>
      <c r="F9" s="11"/>
    </row>
    <row r="10" spans="1:14" x14ac:dyDescent="0.25">
      <c r="A10" s="108"/>
      <c r="B10" s="104"/>
      <c r="C10" s="6"/>
      <c r="D10" s="7" t="s">
        <v>14</v>
      </c>
      <c r="E10" s="8">
        <v>8098806390</v>
      </c>
      <c r="F10" s="2"/>
    </row>
    <row r="11" spans="1:14" x14ac:dyDescent="0.25">
      <c r="A11" s="109"/>
      <c r="B11" s="104"/>
      <c r="C11" s="9"/>
      <c r="D11" s="10" t="s">
        <v>15</v>
      </c>
      <c r="E11" s="4">
        <v>8492437801</v>
      </c>
      <c r="F11" s="4"/>
    </row>
    <row r="12" spans="1:14" x14ac:dyDescent="0.25">
      <c r="E12" s="12"/>
      <c r="F12" s="13"/>
    </row>
    <row r="13" spans="1:14" x14ac:dyDescent="0.25">
      <c r="A13" s="14" t="s">
        <v>16</v>
      </c>
      <c r="B13" s="14" t="s">
        <v>17</v>
      </c>
      <c r="C13" s="14" t="s">
        <v>18</v>
      </c>
      <c r="D13" s="14" t="s">
        <v>19</v>
      </c>
      <c r="E13" s="14" t="s">
        <v>20</v>
      </c>
      <c r="F13" s="15" t="s">
        <v>21</v>
      </c>
      <c r="G13" s="16" t="s">
        <v>22</v>
      </c>
      <c r="H13" s="17" t="s">
        <v>23</v>
      </c>
      <c r="I13" s="17" t="s">
        <v>24</v>
      </c>
      <c r="J13" s="16" t="s">
        <v>25</v>
      </c>
      <c r="K13" s="16" t="s">
        <v>26</v>
      </c>
      <c r="L13" s="18" t="s">
        <v>27</v>
      </c>
      <c r="M13" s="19" t="s">
        <v>28</v>
      </c>
      <c r="N13" s="19" t="s">
        <v>29</v>
      </c>
    </row>
    <row r="14" spans="1:14" x14ac:dyDescent="0.25">
      <c r="A14" s="17">
        <v>1</v>
      </c>
      <c r="B14" s="16" t="s">
        <v>30</v>
      </c>
      <c r="C14" s="20" t="s">
        <v>28</v>
      </c>
      <c r="D14" s="20">
        <v>8094262874</v>
      </c>
      <c r="E14" s="20"/>
      <c r="F14" s="21">
        <v>22293</v>
      </c>
      <c r="G14" s="17" t="s">
        <v>26</v>
      </c>
      <c r="H14" s="17">
        <v>1</v>
      </c>
      <c r="I14" s="17">
        <f t="shared" ref="I14:I15" ca="1" si="1">RANDBETWEEN(1,4)</f>
        <v>1</v>
      </c>
      <c r="J14" s="16"/>
      <c r="K14" s="16">
        <v>1</v>
      </c>
      <c r="L14" s="16" t="s">
        <v>31</v>
      </c>
      <c r="M14" s="19" t="s">
        <v>32</v>
      </c>
      <c r="N14" s="19" t="s">
        <v>33</v>
      </c>
    </row>
    <row r="15" spans="1:14" x14ac:dyDescent="0.25">
      <c r="A15" s="16">
        <v>2</v>
      </c>
      <c r="B15" s="16" t="s">
        <v>34</v>
      </c>
      <c r="C15" s="20" t="s">
        <v>28</v>
      </c>
      <c r="D15" s="20">
        <v>8093306934</v>
      </c>
      <c r="E15" s="20"/>
      <c r="F15" s="21"/>
      <c r="G15" s="16" t="s">
        <v>35</v>
      </c>
      <c r="H15" s="17"/>
      <c r="I15" s="17">
        <f t="shared" ca="1" si="1"/>
        <v>4</v>
      </c>
      <c r="J15" s="16">
        <v>1</v>
      </c>
      <c r="K15" s="16"/>
      <c r="L15" s="16" t="s">
        <v>31</v>
      </c>
      <c r="M15" s="22" t="s">
        <v>36</v>
      </c>
    </row>
    <row r="16" spans="1:14" x14ac:dyDescent="0.25">
      <c r="A16" s="17">
        <v>3</v>
      </c>
      <c r="B16" s="16" t="s">
        <v>37</v>
      </c>
      <c r="C16" s="20" t="s">
        <v>28</v>
      </c>
      <c r="D16" s="20">
        <v>8094421724</v>
      </c>
      <c r="E16" s="20">
        <v>8096075147</v>
      </c>
      <c r="F16" s="21">
        <v>28962</v>
      </c>
      <c r="G16" s="17" t="s">
        <v>26</v>
      </c>
      <c r="H16" s="17">
        <v>2</v>
      </c>
      <c r="I16" s="17"/>
      <c r="J16" s="16"/>
      <c r="K16" s="16">
        <v>2</v>
      </c>
      <c r="L16" s="16"/>
      <c r="M16" s="19" t="s">
        <v>38</v>
      </c>
    </row>
    <row r="17" spans="1:13" x14ac:dyDescent="0.25">
      <c r="A17" s="17">
        <v>4</v>
      </c>
      <c r="B17" s="17" t="s">
        <v>39</v>
      </c>
      <c r="C17" s="20" t="s">
        <v>28</v>
      </c>
      <c r="D17" s="20">
        <v>8098640272</v>
      </c>
      <c r="E17" s="20">
        <v>8093337116</v>
      </c>
      <c r="F17" s="21">
        <v>27103</v>
      </c>
      <c r="G17" s="17" t="s">
        <v>26</v>
      </c>
      <c r="H17" s="17">
        <v>3</v>
      </c>
      <c r="I17" s="17">
        <f t="shared" ref="I17:I46" ca="1" si="2">RANDBETWEEN(1,4)</f>
        <v>2</v>
      </c>
      <c r="J17" s="16"/>
      <c r="K17" s="16">
        <v>3</v>
      </c>
      <c r="L17" s="16"/>
      <c r="M17" s="19" t="s">
        <v>40</v>
      </c>
    </row>
    <row r="18" spans="1:13" x14ac:dyDescent="0.25">
      <c r="A18" s="17">
        <v>5</v>
      </c>
      <c r="B18" s="17" t="s">
        <v>41</v>
      </c>
      <c r="C18" s="20" t="s">
        <v>28</v>
      </c>
      <c r="D18" s="20">
        <v>8295283435</v>
      </c>
      <c r="E18" s="20">
        <v>8492063435</v>
      </c>
      <c r="F18" s="21">
        <v>34757</v>
      </c>
      <c r="G18" s="16" t="s">
        <v>35</v>
      </c>
      <c r="H18" s="17">
        <v>2</v>
      </c>
      <c r="I18" s="17">
        <f t="shared" ca="1" si="2"/>
        <v>4</v>
      </c>
      <c r="J18" s="17">
        <v>2</v>
      </c>
      <c r="K18" s="17"/>
      <c r="L18" s="17"/>
      <c r="M18" s="19" t="s">
        <v>42</v>
      </c>
    </row>
    <row r="19" spans="1:13" x14ac:dyDescent="0.25">
      <c r="A19" s="16">
        <v>6</v>
      </c>
      <c r="B19" s="16" t="s">
        <v>36</v>
      </c>
      <c r="C19" s="20" t="s">
        <v>43</v>
      </c>
      <c r="D19" s="20">
        <v>8090000000</v>
      </c>
      <c r="E19" s="20"/>
      <c r="F19" s="21"/>
      <c r="G19" s="16" t="s">
        <v>35</v>
      </c>
      <c r="H19" s="17"/>
      <c r="I19" s="17">
        <f t="shared" ca="1" si="2"/>
        <v>2</v>
      </c>
      <c r="J19" s="16">
        <v>3</v>
      </c>
      <c r="K19" s="16"/>
      <c r="L19" s="16"/>
    </row>
    <row r="20" spans="1:13" x14ac:dyDescent="0.25">
      <c r="A20" s="17">
        <v>7</v>
      </c>
      <c r="B20" s="17" t="s">
        <v>44</v>
      </c>
      <c r="C20" s="20" t="s">
        <v>28</v>
      </c>
      <c r="D20" s="20">
        <v>8295264187</v>
      </c>
      <c r="E20" s="20"/>
      <c r="F20" s="21"/>
      <c r="G20" s="16" t="s">
        <v>35</v>
      </c>
      <c r="H20" s="17"/>
      <c r="I20" s="17">
        <f t="shared" ca="1" si="2"/>
        <v>2</v>
      </c>
      <c r="J20" s="16">
        <v>4</v>
      </c>
      <c r="K20" s="16"/>
      <c r="L20" s="16"/>
    </row>
    <row r="21" spans="1:13" ht="15.75" customHeight="1" x14ac:dyDescent="0.25">
      <c r="A21" s="17">
        <v>8</v>
      </c>
      <c r="B21" s="16" t="s">
        <v>45</v>
      </c>
      <c r="C21" s="20" t="s">
        <v>28</v>
      </c>
      <c r="D21" s="20">
        <v>8299032926</v>
      </c>
      <c r="E21" s="20"/>
      <c r="F21" s="21"/>
      <c r="G21" s="16" t="s">
        <v>26</v>
      </c>
      <c r="H21" s="17"/>
      <c r="I21" s="17">
        <f t="shared" ca="1" si="2"/>
        <v>2</v>
      </c>
      <c r="J21" s="16"/>
      <c r="K21" s="16">
        <v>4</v>
      </c>
      <c r="L21" s="16"/>
    </row>
    <row r="22" spans="1:13" ht="15.75" customHeight="1" x14ac:dyDescent="0.25">
      <c r="A22" s="16">
        <v>9</v>
      </c>
      <c r="B22" s="16" t="s">
        <v>46</v>
      </c>
      <c r="C22" s="20" t="s">
        <v>28</v>
      </c>
      <c r="D22" s="20">
        <v>8098051308</v>
      </c>
      <c r="E22" s="20">
        <v>8093639666</v>
      </c>
      <c r="F22" s="21">
        <v>28670</v>
      </c>
      <c r="G22" s="17" t="s">
        <v>26</v>
      </c>
      <c r="H22" s="17">
        <v>4</v>
      </c>
      <c r="I22" s="17">
        <f t="shared" ca="1" si="2"/>
        <v>2</v>
      </c>
      <c r="J22" s="16"/>
      <c r="K22" s="16">
        <v>5</v>
      </c>
      <c r="L22" s="16"/>
    </row>
    <row r="23" spans="1:13" ht="15.75" customHeight="1" x14ac:dyDescent="0.25">
      <c r="A23" s="17">
        <v>10</v>
      </c>
      <c r="B23" s="16" t="s">
        <v>47</v>
      </c>
      <c r="C23" s="20" t="s">
        <v>28</v>
      </c>
      <c r="D23" s="20">
        <v>8092930851</v>
      </c>
      <c r="E23" s="20"/>
      <c r="F23" s="21"/>
      <c r="G23" s="16" t="s">
        <v>26</v>
      </c>
      <c r="H23" s="17"/>
      <c r="I23" s="17">
        <f t="shared" ca="1" si="2"/>
        <v>3</v>
      </c>
      <c r="J23" s="16"/>
      <c r="K23" s="16">
        <v>4</v>
      </c>
      <c r="L23" s="16"/>
    </row>
    <row r="24" spans="1:13" ht="15.75" customHeight="1" x14ac:dyDescent="0.25">
      <c r="A24" s="17">
        <v>11</v>
      </c>
      <c r="B24" s="16" t="s">
        <v>48</v>
      </c>
      <c r="C24" s="20" t="s">
        <v>28</v>
      </c>
      <c r="D24" s="20">
        <v>8297635259</v>
      </c>
      <c r="E24" s="20"/>
      <c r="F24" s="21"/>
      <c r="G24" s="16" t="s">
        <v>35</v>
      </c>
      <c r="H24" s="17"/>
      <c r="I24" s="17">
        <f t="shared" ca="1" si="2"/>
        <v>1</v>
      </c>
      <c r="J24" s="16">
        <v>5</v>
      </c>
      <c r="K24" s="16"/>
      <c r="L24" s="16"/>
    </row>
    <row r="25" spans="1:13" ht="15.75" customHeight="1" x14ac:dyDescent="0.25">
      <c r="A25" s="17">
        <v>12</v>
      </c>
      <c r="B25" s="17" t="s">
        <v>49</v>
      </c>
      <c r="C25" s="23" t="s">
        <v>28</v>
      </c>
      <c r="D25" s="23">
        <v>8094423992</v>
      </c>
      <c r="E25" s="20">
        <v>8099058307</v>
      </c>
      <c r="F25" s="21">
        <v>28292</v>
      </c>
      <c r="G25" s="17" t="s">
        <v>35</v>
      </c>
      <c r="H25" s="17">
        <v>2</v>
      </c>
      <c r="I25" s="17">
        <f t="shared" ca="1" si="2"/>
        <v>4</v>
      </c>
      <c r="J25" s="17">
        <v>6</v>
      </c>
      <c r="K25" s="17"/>
      <c r="L25" s="17"/>
    </row>
    <row r="26" spans="1:13" ht="15.75" customHeight="1" x14ac:dyDescent="0.25">
      <c r="A26" s="16">
        <v>13</v>
      </c>
      <c r="B26" s="16" t="s">
        <v>50</v>
      </c>
      <c r="C26" s="20" t="s">
        <v>28</v>
      </c>
      <c r="D26" s="20">
        <v>8299044766</v>
      </c>
      <c r="E26" s="20"/>
      <c r="F26" s="21"/>
      <c r="G26" s="16" t="s">
        <v>35</v>
      </c>
      <c r="H26" s="17"/>
      <c r="I26" s="17">
        <f t="shared" ca="1" si="2"/>
        <v>4</v>
      </c>
      <c r="J26" s="16">
        <v>7</v>
      </c>
      <c r="K26" s="16"/>
      <c r="L26" s="16"/>
    </row>
    <row r="27" spans="1:13" ht="15.75" customHeight="1" x14ac:dyDescent="0.25">
      <c r="A27" s="17">
        <v>14</v>
      </c>
      <c r="B27" s="16" t="s">
        <v>51</v>
      </c>
      <c r="C27" s="20" t="s">
        <v>28</v>
      </c>
      <c r="D27" s="20">
        <v>8097525163</v>
      </c>
      <c r="E27" s="20">
        <v>8096877177</v>
      </c>
      <c r="F27" s="21">
        <v>18686</v>
      </c>
      <c r="G27" s="17" t="s">
        <v>35</v>
      </c>
      <c r="H27" s="17">
        <v>2</v>
      </c>
      <c r="I27" s="17">
        <f t="shared" ca="1" si="2"/>
        <v>4</v>
      </c>
      <c r="J27" s="16">
        <v>8</v>
      </c>
      <c r="K27" s="16"/>
      <c r="L27" s="16"/>
    </row>
    <row r="28" spans="1:13" ht="15.75" customHeight="1" x14ac:dyDescent="0.25">
      <c r="A28" s="17">
        <v>15</v>
      </c>
      <c r="B28" s="16" t="s">
        <v>52</v>
      </c>
      <c r="C28" s="20" t="s">
        <v>28</v>
      </c>
      <c r="D28" s="20">
        <v>8297932417</v>
      </c>
      <c r="E28" s="20">
        <v>8096214944</v>
      </c>
      <c r="F28" s="21"/>
      <c r="G28" s="16" t="s">
        <v>26</v>
      </c>
      <c r="H28" s="17"/>
      <c r="I28" s="17">
        <f t="shared" ca="1" si="2"/>
        <v>1</v>
      </c>
      <c r="J28" s="16"/>
      <c r="K28" s="16">
        <v>6</v>
      </c>
      <c r="L28" s="16"/>
    </row>
    <row r="29" spans="1:13" ht="15.75" customHeight="1" x14ac:dyDescent="0.25">
      <c r="A29" s="16">
        <v>16</v>
      </c>
      <c r="B29" s="17" t="s">
        <v>53</v>
      </c>
      <c r="C29" s="23" t="s">
        <v>28</v>
      </c>
      <c r="D29" s="23">
        <v>8292856688</v>
      </c>
      <c r="E29" s="23">
        <v>8095613159</v>
      </c>
      <c r="F29" s="21" t="s">
        <v>54</v>
      </c>
      <c r="G29" s="17" t="s">
        <v>35</v>
      </c>
      <c r="H29" s="17">
        <v>3</v>
      </c>
      <c r="I29" s="17">
        <f t="shared" ca="1" si="2"/>
        <v>4</v>
      </c>
      <c r="J29" s="17">
        <v>9</v>
      </c>
      <c r="K29" s="17"/>
      <c r="L29" s="17"/>
    </row>
    <row r="30" spans="1:13" ht="15.75" customHeight="1" x14ac:dyDescent="0.25">
      <c r="A30" s="17">
        <v>17</v>
      </c>
      <c r="B30" s="17" t="s">
        <v>55</v>
      </c>
      <c r="C30" s="20" t="s">
        <v>28</v>
      </c>
      <c r="D30" s="20">
        <v>8299641681</v>
      </c>
      <c r="E30" s="20"/>
      <c r="F30" s="21">
        <v>29753</v>
      </c>
      <c r="G30" s="17" t="s">
        <v>26</v>
      </c>
      <c r="H30" s="17">
        <v>2</v>
      </c>
      <c r="I30" s="17">
        <f t="shared" ca="1" si="2"/>
        <v>4</v>
      </c>
      <c r="J30" s="16"/>
      <c r="K30" s="16">
        <v>2</v>
      </c>
      <c r="L30" s="16"/>
    </row>
    <row r="31" spans="1:13" ht="15.75" customHeight="1" x14ac:dyDescent="0.25">
      <c r="A31" s="17">
        <v>18</v>
      </c>
      <c r="B31" s="17" t="s">
        <v>56</v>
      </c>
      <c r="C31" s="20" t="s">
        <v>28</v>
      </c>
      <c r="D31" s="20">
        <v>8298789120</v>
      </c>
      <c r="E31" s="20"/>
      <c r="F31" s="21">
        <v>30046</v>
      </c>
      <c r="G31" s="17" t="s">
        <v>26</v>
      </c>
      <c r="H31" s="17">
        <v>5</v>
      </c>
      <c r="I31" s="17">
        <f t="shared" ca="1" si="2"/>
        <v>2</v>
      </c>
      <c r="J31" s="16"/>
      <c r="K31" s="16">
        <v>7</v>
      </c>
      <c r="L31" s="16"/>
    </row>
    <row r="32" spans="1:13" ht="15.75" customHeight="1" x14ac:dyDescent="0.25">
      <c r="A32" s="17">
        <v>19</v>
      </c>
      <c r="B32" s="16" t="s">
        <v>57</v>
      </c>
      <c r="C32" s="20" t="s">
        <v>28</v>
      </c>
      <c r="D32" s="20">
        <v>8298620330</v>
      </c>
      <c r="E32" s="20"/>
      <c r="F32" s="21"/>
      <c r="G32" s="16" t="s">
        <v>35</v>
      </c>
      <c r="H32" s="17"/>
      <c r="I32" s="17">
        <f t="shared" ca="1" si="2"/>
        <v>3</v>
      </c>
      <c r="J32" s="16">
        <v>10</v>
      </c>
      <c r="K32" s="16"/>
      <c r="L32" s="16"/>
    </row>
    <row r="33" spans="1:12" ht="15.75" customHeight="1" x14ac:dyDescent="0.25">
      <c r="A33" s="16">
        <v>20</v>
      </c>
      <c r="B33" s="16" t="s">
        <v>58</v>
      </c>
      <c r="C33" s="20" t="s">
        <v>28</v>
      </c>
      <c r="D33" s="20">
        <v>8096191080</v>
      </c>
      <c r="E33" s="20"/>
      <c r="F33" s="21"/>
      <c r="G33" s="16" t="s">
        <v>35</v>
      </c>
      <c r="H33" s="17"/>
      <c r="I33" s="17">
        <f t="shared" ca="1" si="2"/>
        <v>1</v>
      </c>
      <c r="J33" s="16">
        <v>11</v>
      </c>
      <c r="K33" s="16"/>
      <c r="L33" s="16"/>
    </row>
    <row r="34" spans="1:12" ht="15.75" customHeight="1" x14ac:dyDescent="0.25">
      <c r="A34" s="17">
        <v>21</v>
      </c>
      <c r="B34" s="17" t="s">
        <v>59</v>
      </c>
      <c r="C34" s="20" t="s">
        <v>28</v>
      </c>
      <c r="D34" s="20">
        <v>8093380659</v>
      </c>
      <c r="E34" s="20"/>
      <c r="F34" s="21">
        <v>35559</v>
      </c>
      <c r="G34" s="16" t="s">
        <v>35</v>
      </c>
      <c r="H34" s="17">
        <v>4</v>
      </c>
      <c r="I34" s="17">
        <f t="shared" ca="1" si="2"/>
        <v>4</v>
      </c>
      <c r="J34" s="16">
        <v>12</v>
      </c>
      <c r="K34" s="16"/>
      <c r="L34" s="16"/>
    </row>
    <row r="35" spans="1:12" ht="15.75" customHeight="1" x14ac:dyDescent="0.25">
      <c r="A35" s="16">
        <v>22</v>
      </c>
      <c r="B35" s="16" t="s">
        <v>38</v>
      </c>
      <c r="C35" s="20" t="s">
        <v>43</v>
      </c>
      <c r="D35" s="20">
        <v>8496348044</v>
      </c>
      <c r="E35" s="20"/>
      <c r="F35" s="21"/>
      <c r="G35" s="16" t="s">
        <v>35</v>
      </c>
      <c r="H35" s="17"/>
      <c r="I35" s="17">
        <f t="shared" ca="1" si="2"/>
        <v>1</v>
      </c>
      <c r="J35" s="16">
        <v>13</v>
      </c>
      <c r="K35" s="16"/>
      <c r="L35" s="16"/>
    </row>
    <row r="36" spans="1:12" ht="15.75" customHeight="1" x14ac:dyDescent="0.25">
      <c r="A36" s="16">
        <v>23</v>
      </c>
      <c r="B36" s="16" t="s">
        <v>60</v>
      </c>
      <c r="C36" s="20" t="s">
        <v>28</v>
      </c>
      <c r="D36" s="20">
        <v>8095385668</v>
      </c>
      <c r="E36" s="20"/>
      <c r="F36" s="21"/>
      <c r="G36" s="16" t="s">
        <v>35</v>
      </c>
      <c r="H36" s="17"/>
      <c r="I36" s="17">
        <f t="shared" ca="1" si="2"/>
        <v>4</v>
      </c>
      <c r="J36" s="16">
        <v>14</v>
      </c>
      <c r="K36" s="16"/>
      <c r="L36" s="16"/>
    </row>
    <row r="37" spans="1:12" ht="15.75" customHeight="1" x14ac:dyDescent="0.25">
      <c r="A37" s="17">
        <v>24</v>
      </c>
      <c r="B37" s="17" t="s">
        <v>61</v>
      </c>
      <c r="C37" s="20" t="s">
        <v>28</v>
      </c>
      <c r="D37" s="20">
        <v>8092450787</v>
      </c>
      <c r="E37" s="20"/>
      <c r="F37" s="21">
        <v>36376</v>
      </c>
      <c r="G37" s="16" t="s">
        <v>35</v>
      </c>
      <c r="H37" s="17">
        <v>5</v>
      </c>
      <c r="I37" s="17">
        <f t="shared" ca="1" si="2"/>
        <v>1</v>
      </c>
      <c r="J37" s="16">
        <v>15</v>
      </c>
      <c r="K37" s="16"/>
      <c r="L37" s="16"/>
    </row>
    <row r="38" spans="1:12" ht="15.75" customHeight="1" x14ac:dyDescent="0.25">
      <c r="A38" s="17">
        <v>25</v>
      </c>
      <c r="B38" s="16" t="s">
        <v>42</v>
      </c>
      <c r="C38" s="20"/>
      <c r="D38" s="20">
        <v>8295840562</v>
      </c>
      <c r="E38" s="20"/>
      <c r="F38" s="21"/>
      <c r="G38" s="16" t="s">
        <v>35</v>
      </c>
      <c r="H38" s="17"/>
      <c r="I38" s="17">
        <f t="shared" ca="1" si="2"/>
        <v>3</v>
      </c>
      <c r="J38" s="16">
        <v>16</v>
      </c>
      <c r="K38" s="16"/>
      <c r="L38" s="16"/>
    </row>
    <row r="39" spans="1:12" ht="15.75" customHeight="1" x14ac:dyDescent="0.25">
      <c r="A39" s="17">
        <v>26</v>
      </c>
      <c r="B39" s="17" t="s">
        <v>62</v>
      </c>
      <c r="C39" s="20" t="s">
        <v>28</v>
      </c>
      <c r="D39" s="20">
        <v>8097727170</v>
      </c>
      <c r="E39" s="20"/>
      <c r="F39" s="21"/>
      <c r="G39" s="17" t="s">
        <v>35</v>
      </c>
      <c r="H39" s="17"/>
      <c r="I39" s="17">
        <f t="shared" ca="1" si="2"/>
        <v>2</v>
      </c>
      <c r="J39" s="16">
        <v>17</v>
      </c>
      <c r="K39" s="16"/>
      <c r="L39" s="16"/>
    </row>
    <row r="40" spans="1:12" ht="15.75" customHeight="1" x14ac:dyDescent="0.25">
      <c r="A40" s="16">
        <v>27</v>
      </c>
      <c r="B40" s="16" t="s">
        <v>63</v>
      </c>
      <c r="C40" s="20" t="s">
        <v>28</v>
      </c>
      <c r="D40" s="20">
        <v>8093779854</v>
      </c>
      <c r="E40" s="20"/>
      <c r="F40" s="21"/>
      <c r="G40" s="17" t="s">
        <v>26</v>
      </c>
      <c r="H40" s="17"/>
      <c r="I40" s="17">
        <f t="shared" ca="1" si="2"/>
        <v>3</v>
      </c>
      <c r="J40" s="16"/>
      <c r="K40" s="16">
        <v>8</v>
      </c>
      <c r="L40" s="16"/>
    </row>
    <row r="41" spans="1:12" ht="15.75" customHeight="1" x14ac:dyDescent="0.25">
      <c r="A41" s="17">
        <v>28</v>
      </c>
      <c r="B41" s="16" t="s">
        <v>64</v>
      </c>
      <c r="C41" s="20" t="s">
        <v>28</v>
      </c>
      <c r="D41" s="20">
        <v>8096533463</v>
      </c>
      <c r="E41" s="20"/>
      <c r="F41" s="21"/>
      <c r="G41" s="16" t="s">
        <v>35</v>
      </c>
      <c r="H41" s="17"/>
      <c r="I41" s="17">
        <f t="shared" ca="1" si="2"/>
        <v>3</v>
      </c>
      <c r="J41" s="16">
        <v>18</v>
      </c>
      <c r="K41" s="16"/>
      <c r="L41" s="16"/>
    </row>
    <row r="42" spans="1:12" ht="15.75" customHeight="1" x14ac:dyDescent="0.25">
      <c r="A42" s="17">
        <v>29</v>
      </c>
      <c r="B42" s="16" t="s">
        <v>65</v>
      </c>
      <c r="C42" s="20" t="s">
        <v>28</v>
      </c>
      <c r="D42" s="20">
        <v>8292748949</v>
      </c>
      <c r="E42" s="20"/>
      <c r="F42" s="21"/>
      <c r="G42" s="16" t="s">
        <v>35</v>
      </c>
      <c r="H42" s="17"/>
      <c r="I42" s="17">
        <f t="shared" ca="1" si="2"/>
        <v>3</v>
      </c>
      <c r="J42" s="16">
        <v>19</v>
      </c>
      <c r="K42" s="16"/>
      <c r="L42" s="16"/>
    </row>
    <row r="43" spans="1:12" ht="15.75" customHeight="1" x14ac:dyDescent="0.25">
      <c r="A43" s="16">
        <v>30</v>
      </c>
      <c r="B43" s="16" t="s">
        <v>66</v>
      </c>
      <c r="C43" s="20" t="s">
        <v>43</v>
      </c>
      <c r="D43" s="20">
        <v>8098180266</v>
      </c>
      <c r="E43" s="20"/>
      <c r="F43" s="21">
        <v>31053</v>
      </c>
      <c r="G43" s="17" t="s">
        <v>26</v>
      </c>
      <c r="H43" s="17">
        <v>6</v>
      </c>
      <c r="I43" s="17">
        <f t="shared" ca="1" si="2"/>
        <v>2</v>
      </c>
      <c r="J43" s="16"/>
      <c r="K43" s="16">
        <v>9</v>
      </c>
      <c r="L43" s="16"/>
    </row>
    <row r="44" spans="1:12" ht="15.75" customHeight="1" x14ac:dyDescent="0.25">
      <c r="A44" s="17">
        <v>31</v>
      </c>
      <c r="B44" s="16" t="s">
        <v>40</v>
      </c>
      <c r="C44" s="20" t="s">
        <v>43</v>
      </c>
      <c r="D44" s="20">
        <v>8095610991</v>
      </c>
      <c r="E44" s="20"/>
      <c r="F44" s="21">
        <v>20180</v>
      </c>
      <c r="G44" s="17" t="s">
        <v>35</v>
      </c>
      <c r="H44" s="17">
        <v>4</v>
      </c>
      <c r="I44" s="17">
        <f t="shared" ca="1" si="2"/>
        <v>4</v>
      </c>
      <c r="J44" s="16">
        <v>20</v>
      </c>
      <c r="K44" s="16"/>
      <c r="L44" s="16"/>
    </row>
    <row r="45" spans="1:12" ht="15.75" customHeight="1" x14ac:dyDescent="0.25">
      <c r="A45" s="17">
        <v>32</v>
      </c>
      <c r="B45" s="16" t="s">
        <v>67</v>
      </c>
      <c r="C45" s="20" t="s">
        <v>28</v>
      </c>
      <c r="D45" s="20">
        <v>8295926452</v>
      </c>
      <c r="E45" s="20">
        <v>8098507487</v>
      </c>
      <c r="F45" s="21">
        <v>25204</v>
      </c>
      <c r="G45" s="17" t="s">
        <v>26</v>
      </c>
      <c r="H45" s="17">
        <v>7</v>
      </c>
      <c r="I45" s="17">
        <f t="shared" ca="1" si="2"/>
        <v>4</v>
      </c>
      <c r="J45" s="16"/>
      <c r="K45" s="16">
        <v>10</v>
      </c>
      <c r="L45" s="16"/>
    </row>
    <row r="46" spans="1:12" ht="15.75" customHeight="1" x14ac:dyDescent="0.25">
      <c r="A46" s="17">
        <v>33</v>
      </c>
      <c r="B46" s="16" t="s">
        <v>68</v>
      </c>
      <c r="C46" s="20" t="s">
        <v>28</v>
      </c>
      <c r="D46" s="20">
        <v>8097133370</v>
      </c>
      <c r="E46" s="20"/>
      <c r="F46" s="21"/>
      <c r="G46" s="16" t="s">
        <v>26</v>
      </c>
      <c r="H46" s="17"/>
      <c r="I46" s="17">
        <f t="shared" ca="1" si="2"/>
        <v>4</v>
      </c>
      <c r="J46" s="16"/>
      <c r="K46" s="16">
        <v>11</v>
      </c>
      <c r="L46" s="16"/>
    </row>
    <row r="47" spans="1:12" ht="15.75" customHeight="1" x14ac:dyDescent="0.25">
      <c r="A47" s="16">
        <v>34</v>
      </c>
      <c r="B47" s="16" t="s">
        <v>69</v>
      </c>
      <c r="C47" s="20" t="s">
        <v>28</v>
      </c>
      <c r="D47" s="20">
        <v>8296406688</v>
      </c>
      <c r="E47" s="20"/>
      <c r="F47" s="21">
        <v>30578</v>
      </c>
      <c r="G47" s="17" t="s">
        <v>26</v>
      </c>
      <c r="H47" s="17">
        <v>5</v>
      </c>
      <c r="I47" s="17"/>
      <c r="J47" s="16"/>
      <c r="K47" s="16">
        <v>7</v>
      </c>
      <c r="L47" s="16"/>
    </row>
    <row r="48" spans="1:12" ht="15.75" customHeight="1" x14ac:dyDescent="0.25">
      <c r="A48" s="17">
        <v>35</v>
      </c>
      <c r="B48" s="16" t="s">
        <v>70</v>
      </c>
      <c r="C48" s="20" t="s">
        <v>28</v>
      </c>
      <c r="D48" s="20">
        <v>8094262874</v>
      </c>
      <c r="E48" s="20">
        <v>8292836765</v>
      </c>
      <c r="F48" s="21">
        <v>26596</v>
      </c>
      <c r="G48" s="17" t="s">
        <v>26</v>
      </c>
      <c r="H48" s="17">
        <v>1</v>
      </c>
      <c r="I48" s="17"/>
      <c r="J48" s="16"/>
      <c r="K48" s="16">
        <v>1</v>
      </c>
      <c r="L48" s="16"/>
    </row>
    <row r="49" spans="1:27" ht="15.75" customHeight="1" x14ac:dyDescent="0.25">
      <c r="A49" s="17">
        <v>36</v>
      </c>
      <c r="B49" s="17" t="s">
        <v>71</v>
      </c>
      <c r="C49" s="20" t="s">
        <v>28</v>
      </c>
      <c r="D49" s="20">
        <v>8092719165</v>
      </c>
      <c r="E49" s="20"/>
      <c r="F49" s="21">
        <v>30967</v>
      </c>
      <c r="G49" s="17" t="s">
        <v>26</v>
      </c>
      <c r="H49" s="17">
        <v>6</v>
      </c>
      <c r="I49" s="17"/>
      <c r="J49" s="16"/>
      <c r="K49" s="16">
        <v>9</v>
      </c>
      <c r="L49" s="16"/>
    </row>
    <row r="50" spans="1:27" ht="15.75" customHeight="1" x14ac:dyDescent="0.25">
      <c r="A50" s="16">
        <v>37</v>
      </c>
      <c r="B50" s="16" t="s">
        <v>72</v>
      </c>
      <c r="C50" s="20" t="s">
        <v>28</v>
      </c>
      <c r="D50" s="20">
        <v>8098805178</v>
      </c>
      <c r="E50" s="20">
        <v>8093639666</v>
      </c>
      <c r="F50" s="21">
        <v>28291</v>
      </c>
      <c r="G50" s="17" t="s">
        <v>26</v>
      </c>
      <c r="H50" s="17">
        <v>4</v>
      </c>
      <c r="I50" s="17"/>
      <c r="J50" s="16"/>
      <c r="K50" s="16">
        <v>5</v>
      </c>
      <c r="L50" s="16"/>
    </row>
    <row r="51" spans="1:27" ht="15.75" customHeight="1" x14ac:dyDescent="0.25">
      <c r="A51" s="17">
        <v>38</v>
      </c>
      <c r="B51" s="16" t="s">
        <v>73</v>
      </c>
      <c r="C51" s="20" t="s">
        <v>28</v>
      </c>
      <c r="D51" s="20">
        <v>8492523693</v>
      </c>
      <c r="E51" s="20"/>
      <c r="F51" s="21"/>
      <c r="G51" s="16" t="s">
        <v>26</v>
      </c>
      <c r="H51" s="17"/>
      <c r="I51" s="17">
        <f t="shared" ref="I51:I55" ca="1" si="3">RANDBETWEEN(1,4)</f>
        <v>4</v>
      </c>
      <c r="J51" s="16"/>
      <c r="K51" s="16">
        <v>11</v>
      </c>
      <c r="L51" s="16"/>
    </row>
    <row r="52" spans="1:27" ht="15.75" customHeight="1" x14ac:dyDescent="0.25">
      <c r="A52" s="17">
        <v>39</v>
      </c>
      <c r="B52" s="16" t="s">
        <v>74</v>
      </c>
      <c r="C52" s="20" t="s">
        <v>28</v>
      </c>
      <c r="D52" s="20">
        <v>8093138343</v>
      </c>
      <c r="E52" s="20"/>
      <c r="F52" s="21">
        <v>28438</v>
      </c>
      <c r="G52" s="17" t="s">
        <v>35</v>
      </c>
      <c r="H52" s="17">
        <v>5</v>
      </c>
      <c r="I52" s="17">
        <f t="shared" ca="1" si="3"/>
        <v>1</v>
      </c>
      <c r="J52" s="16">
        <v>21</v>
      </c>
      <c r="K52" s="16"/>
      <c r="L52" s="16"/>
    </row>
    <row r="53" spans="1:27" ht="15.75" customHeight="1" x14ac:dyDescent="0.25">
      <c r="A53" s="17">
        <v>40</v>
      </c>
      <c r="B53" s="16" t="s">
        <v>75</v>
      </c>
      <c r="C53" s="20" t="s">
        <v>28</v>
      </c>
      <c r="D53" s="20">
        <v>8299818924</v>
      </c>
      <c r="E53" s="20">
        <v>8299688924</v>
      </c>
      <c r="F53" s="21">
        <v>33593</v>
      </c>
      <c r="G53" s="16" t="s">
        <v>35</v>
      </c>
      <c r="H53" s="17">
        <v>10</v>
      </c>
      <c r="I53" s="17">
        <f t="shared" ca="1" si="3"/>
        <v>3</v>
      </c>
      <c r="J53" s="16">
        <v>22</v>
      </c>
      <c r="K53" s="16"/>
      <c r="L53" s="16"/>
    </row>
    <row r="54" spans="1:27" ht="15.75" customHeight="1" x14ac:dyDescent="0.25">
      <c r="A54" s="16">
        <v>41</v>
      </c>
      <c r="B54" s="16" t="s">
        <v>76</v>
      </c>
      <c r="C54" s="20" t="s">
        <v>28</v>
      </c>
      <c r="D54" s="20">
        <v>8095079500</v>
      </c>
      <c r="E54" s="20"/>
      <c r="F54" s="21">
        <v>35048</v>
      </c>
      <c r="G54" s="16" t="s">
        <v>35</v>
      </c>
      <c r="H54" s="17">
        <v>11</v>
      </c>
      <c r="I54" s="17">
        <f t="shared" ca="1" si="3"/>
        <v>2</v>
      </c>
      <c r="J54" s="16">
        <v>23</v>
      </c>
      <c r="K54" s="16"/>
      <c r="L54" s="16"/>
    </row>
    <row r="55" spans="1:27" ht="15.75" customHeight="1" x14ac:dyDescent="0.25">
      <c r="A55" s="17">
        <v>42</v>
      </c>
      <c r="B55" s="17" t="s">
        <v>77</v>
      </c>
      <c r="C55" s="20" t="s">
        <v>28</v>
      </c>
      <c r="D55" s="20">
        <v>8296507952</v>
      </c>
      <c r="E55" s="20"/>
      <c r="F55" s="21">
        <v>31447</v>
      </c>
      <c r="G55" s="16" t="s">
        <v>26</v>
      </c>
      <c r="H55" s="17">
        <v>6</v>
      </c>
      <c r="I55" s="17">
        <f t="shared" ca="1" si="3"/>
        <v>1</v>
      </c>
      <c r="J55" s="16"/>
      <c r="K55" s="16">
        <v>8</v>
      </c>
      <c r="L55" s="16"/>
    </row>
    <row r="56" spans="1:27" ht="15.75" customHeight="1" x14ac:dyDescent="0.25">
      <c r="A56" s="17">
        <v>43</v>
      </c>
      <c r="B56" s="16" t="s">
        <v>78</v>
      </c>
      <c r="C56" s="20" t="s">
        <v>28</v>
      </c>
      <c r="D56" s="20">
        <v>8293797534</v>
      </c>
      <c r="E56" s="20">
        <v>8292747175</v>
      </c>
      <c r="F56" s="21">
        <v>22381</v>
      </c>
      <c r="G56" s="17" t="s">
        <v>26</v>
      </c>
      <c r="H56" s="17">
        <v>7</v>
      </c>
      <c r="I56" s="17"/>
      <c r="J56" s="16"/>
      <c r="K56" s="16">
        <v>10</v>
      </c>
      <c r="L56" s="16"/>
    </row>
    <row r="57" spans="1:27" ht="15.75" customHeight="1" x14ac:dyDescent="0.25">
      <c r="A57" s="17">
        <v>44</v>
      </c>
      <c r="B57" s="16" t="s">
        <v>79</v>
      </c>
      <c r="C57" s="20" t="s">
        <v>28</v>
      </c>
      <c r="D57" s="20">
        <v>8298708395</v>
      </c>
      <c r="E57" s="20"/>
      <c r="F57" s="21"/>
      <c r="G57" s="17"/>
      <c r="H57" s="17"/>
      <c r="I57" s="17"/>
      <c r="J57" s="16"/>
      <c r="K57" s="16"/>
      <c r="L57" s="16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ht="15.75" customHeight="1" x14ac:dyDescent="0.25">
      <c r="A58" s="16">
        <v>45</v>
      </c>
      <c r="B58" s="16" t="s">
        <v>80</v>
      </c>
      <c r="C58" s="20" t="s">
        <v>28</v>
      </c>
      <c r="D58" s="20">
        <v>8299628741</v>
      </c>
      <c r="E58" s="20"/>
      <c r="F58" s="21"/>
      <c r="G58" s="16" t="s">
        <v>26</v>
      </c>
      <c r="H58" s="17"/>
      <c r="I58" s="17">
        <f ca="1">RANDBETWEEN(1,4)</f>
        <v>2</v>
      </c>
      <c r="J58" s="16"/>
      <c r="K58" s="16">
        <v>6</v>
      </c>
      <c r="L58" s="16"/>
    </row>
    <row r="59" spans="1:27" ht="15.75" customHeight="1" x14ac:dyDescent="0.25">
      <c r="A59" s="17">
        <v>46</v>
      </c>
      <c r="B59" s="16" t="s">
        <v>81</v>
      </c>
      <c r="C59" s="20" t="s">
        <v>28</v>
      </c>
      <c r="D59" s="20">
        <v>8096039258</v>
      </c>
      <c r="E59" s="20">
        <v>8093337116</v>
      </c>
      <c r="F59" s="21">
        <v>28941</v>
      </c>
      <c r="G59" s="17" t="s">
        <v>26</v>
      </c>
      <c r="H59" s="17">
        <v>3</v>
      </c>
      <c r="I59" s="17"/>
      <c r="J59" s="16"/>
      <c r="K59" s="16">
        <v>3</v>
      </c>
      <c r="L59" s="16"/>
    </row>
    <row r="60" spans="1:27" ht="15.75" customHeight="1" x14ac:dyDescent="0.25">
      <c r="E60" s="12"/>
      <c r="F60" s="13"/>
    </row>
    <row r="61" spans="1:27" ht="15.75" customHeight="1" x14ac:dyDescent="0.25">
      <c r="B61" s="24"/>
      <c r="E61" s="12"/>
      <c r="F61" s="13"/>
    </row>
    <row r="62" spans="1:27" ht="15.75" customHeight="1" x14ac:dyDescent="0.25">
      <c r="E62" s="12"/>
      <c r="F62" s="13"/>
    </row>
    <row r="63" spans="1:27" ht="15.75" customHeight="1" x14ac:dyDescent="0.25">
      <c r="E63" s="12"/>
      <c r="F63" s="13"/>
    </row>
    <row r="64" spans="1:27" ht="15.75" customHeight="1" x14ac:dyDescent="0.25">
      <c r="E64" s="12"/>
      <c r="F64" s="13"/>
    </row>
    <row r="65" spans="5:6" ht="15.75" customHeight="1" x14ac:dyDescent="0.25">
      <c r="E65" s="12"/>
      <c r="F65" s="13"/>
    </row>
    <row r="66" spans="5:6" ht="15.75" customHeight="1" x14ac:dyDescent="0.25">
      <c r="E66" s="12"/>
      <c r="F66" s="13"/>
    </row>
    <row r="67" spans="5:6" ht="15.75" customHeight="1" x14ac:dyDescent="0.25">
      <c r="E67" s="12"/>
      <c r="F67" s="13"/>
    </row>
    <row r="68" spans="5:6" ht="15.75" customHeight="1" x14ac:dyDescent="0.25">
      <c r="E68" s="12"/>
      <c r="F68" s="13"/>
    </row>
    <row r="69" spans="5:6" ht="15.75" customHeight="1" x14ac:dyDescent="0.25">
      <c r="E69" s="12"/>
      <c r="F69" s="13"/>
    </row>
    <row r="70" spans="5:6" ht="15.75" customHeight="1" x14ac:dyDescent="0.25">
      <c r="E70" s="12"/>
      <c r="F70" s="13"/>
    </row>
    <row r="71" spans="5:6" ht="15.75" customHeight="1" x14ac:dyDescent="0.25">
      <c r="E71" s="12"/>
      <c r="F71" s="13"/>
    </row>
    <row r="72" spans="5:6" ht="15.75" customHeight="1" x14ac:dyDescent="0.25">
      <c r="E72" s="12"/>
      <c r="F72" s="13"/>
    </row>
    <row r="73" spans="5:6" ht="15.75" customHeight="1" x14ac:dyDescent="0.25">
      <c r="E73" s="12"/>
      <c r="F73" s="13"/>
    </row>
    <row r="74" spans="5:6" ht="15.75" customHeight="1" x14ac:dyDescent="0.25">
      <c r="E74" s="12"/>
      <c r="F74" s="13"/>
    </row>
    <row r="75" spans="5:6" ht="15.75" customHeight="1" x14ac:dyDescent="0.25">
      <c r="E75" s="12"/>
      <c r="F75" s="13"/>
    </row>
    <row r="76" spans="5:6" ht="15.75" customHeight="1" x14ac:dyDescent="0.25">
      <c r="E76" s="12"/>
      <c r="F76" s="13"/>
    </row>
    <row r="77" spans="5:6" ht="15.75" customHeight="1" x14ac:dyDescent="0.25">
      <c r="E77" s="12"/>
      <c r="F77" s="13"/>
    </row>
    <row r="78" spans="5:6" ht="15.75" customHeight="1" x14ac:dyDescent="0.25">
      <c r="E78" s="12"/>
      <c r="F78" s="13"/>
    </row>
    <row r="79" spans="5:6" ht="15.75" customHeight="1" x14ac:dyDescent="0.25">
      <c r="E79" s="12"/>
      <c r="F79" s="13"/>
    </row>
    <row r="80" spans="5:6" ht="15.75" customHeight="1" x14ac:dyDescent="0.25">
      <c r="E80" s="12"/>
      <c r="F80" s="13"/>
    </row>
    <row r="81" spans="5:6" ht="15.75" customHeight="1" x14ac:dyDescent="0.25">
      <c r="E81" s="12"/>
      <c r="F81" s="13"/>
    </row>
    <row r="82" spans="5:6" ht="15.75" customHeight="1" x14ac:dyDescent="0.25">
      <c r="E82" s="12"/>
      <c r="F82" s="13"/>
    </row>
    <row r="83" spans="5:6" ht="15.75" customHeight="1" x14ac:dyDescent="0.25">
      <c r="E83" s="12"/>
      <c r="F83" s="13"/>
    </row>
    <row r="84" spans="5:6" ht="15.75" customHeight="1" x14ac:dyDescent="0.25">
      <c r="E84" s="12"/>
      <c r="F84" s="13"/>
    </row>
    <row r="85" spans="5:6" ht="15.75" customHeight="1" x14ac:dyDescent="0.25">
      <c r="E85" s="12"/>
      <c r="F85" s="13"/>
    </row>
    <row r="86" spans="5:6" ht="15.75" customHeight="1" x14ac:dyDescent="0.25">
      <c r="E86" s="12"/>
      <c r="F86" s="13"/>
    </row>
    <row r="87" spans="5:6" ht="15.75" customHeight="1" x14ac:dyDescent="0.25">
      <c r="E87" s="12"/>
      <c r="F87" s="13"/>
    </row>
    <row r="88" spans="5:6" ht="15.75" customHeight="1" x14ac:dyDescent="0.25">
      <c r="E88" s="12"/>
      <c r="F88" s="13"/>
    </row>
    <row r="89" spans="5:6" ht="15.75" customHeight="1" x14ac:dyDescent="0.25">
      <c r="E89" s="12"/>
      <c r="F89" s="13"/>
    </row>
    <row r="90" spans="5:6" ht="15.75" customHeight="1" x14ac:dyDescent="0.25">
      <c r="E90" s="12"/>
      <c r="F90" s="13"/>
    </row>
    <row r="91" spans="5:6" ht="15.75" customHeight="1" x14ac:dyDescent="0.25">
      <c r="E91" s="12"/>
      <c r="F91" s="13"/>
    </row>
    <row r="92" spans="5:6" ht="15.75" customHeight="1" x14ac:dyDescent="0.25">
      <c r="E92" s="12"/>
      <c r="F92" s="13"/>
    </row>
    <row r="93" spans="5:6" ht="15.75" customHeight="1" x14ac:dyDescent="0.25">
      <c r="E93" s="12"/>
      <c r="F93" s="13"/>
    </row>
    <row r="94" spans="5:6" ht="15.75" customHeight="1" x14ac:dyDescent="0.25">
      <c r="E94" s="12"/>
      <c r="F94" s="13"/>
    </row>
    <row r="95" spans="5:6" ht="15.75" customHeight="1" x14ac:dyDescent="0.25">
      <c r="E95" s="12"/>
      <c r="F95" s="13"/>
    </row>
    <row r="96" spans="5:6" ht="15.75" customHeight="1" x14ac:dyDescent="0.25">
      <c r="E96" s="12"/>
      <c r="F96" s="13"/>
    </row>
    <row r="97" spans="5:6" ht="15.75" customHeight="1" x14ac:dyDescent="0.25">
      <c r="E97" s="12"/>
      <c r="F97" s="13"/>
    </row>
    <row r="98" spans="5:6" ht="15.75" customHeight="1" x14ac:dyDescent="0.25">
      <c r="E98" s="12"/>
      <c r="F98" s="13"/>
    </row>
    <row r="99" spans="5:6" ht="15.75" customHeight="1" x14ac:dyDescent="0.25">
      <c r="E99" s="12"/>
      <c r="F99" s="13"/>
    </row>
    <row r="100" spans="5:6" ht="15.75" customHeight="1" x14ac:dyDescent="0.25">
      <c r="E100" s="12"/>
      <c r="F100" s="13"/>
    </row>
    <row r="101" spans="5:6" ht="15.75" customHeight="1" x14ac:dyDescent="0.25">
      <c r="E101" s="12"/>
      <c r="F101" s="13"/>
    </row>
    <row r="102" spans="5:6" ht="15.75" customHeight="1" x14ac:dyDescent="0.25">
      <c r="E102" s="12"/>
      <c r="F102" s="13"/>
    </row>
    <row r="103" spans="5:6" ht="15.75" customHeight="1" x14ac:dyDescent="0.25">
      <c r="E103" s="12"/>
      <c r="F103" s="13"/>
    </row>
    <row r="104" spans="5:6" ht="15.75" customHeight="1" x14ac:dyDescent="0.25">
      <c r="E104" s="12"/>
      <c r="F104" s="13"/>
    </row>
    <row r="105" spans="5:6" ht="15.75" customHeight="1" x14ac:dyDescent="0.25">
      <c r="E105" s="12"/>
      <c r="F105" s="13"/>
    </row>
    <row r="106" spans="5:6" ht="15.75" customHeight="1" x14ac:dyDescent="0.25">
      <c r="E106" s="12"/>
      <c r="F106" s="13"/>
    </row>
    <row r="107" spans="5:6" ht="15.75" customHeight="1" x14ac:dyDescent="0.25">
      <c r="E107" s="12"/>
      <c r="F107" s="13"/>
    </row>
    <row r="108" spans="5:6" ht="15.75" customHeight="1" x14ac:dyDescent="0.25">
      <c r="E108" s="12"/>
      <c r="F108" s="13"/>
    </row>
    <row r="109" spans="5:6" ht="15.75" customHeight="1" x14ac:dyDescent="0.25">
      <c r="E109" s="12"/>
      <c r="F109" s="13"/>
    </row>
    <row r="110" spans="5:6" ht="15.75" customHeight="1" x14ac:dyDescent="0.25">
      <c r="E110" s="12"/>
      <c r="F110" s="13"/>
    </row>
    <row r="111" spans="5:6" ht="15.75" customHeight="1" x14ac:dyDescent="0.25">
      <c r="E111" s="12"/>
      <c r="F111" s="13"/>
    </row>
    <row r="112" spans="5:6" ht="15.75" customHeight="1" x14ac:dyDescent="0.25">
      <c r="E112" s="12"/>
      <c r="F112" s="13"/>
    </row>
    <row r="113" spans="5:6" ht="15.75" customHeight="1" x14ac:dyDescent="0.25">
      <c r="E113" s="12"/>
      <c r="F113" s="13"/>
    </row>
    <row r="114" spans="5:6" ht="15.75" customHeight="1" x14ac:dyDescent="0.25">
      <c r="E114" s="12"/>
      <c r="F114" s="13"/>
    </row>
    <row r="115" spans="5:6" ht="15.75" customHeight="1" x14ac:dyDescent="0.25">
      <c r="E115" s="12"/>
      <c r="F115" s="13"/>
    </row>
    <row r="116" spans="5:6" ht="15.75" customHeight="1" x14ac:dyDescent="0.25">
      <c r="E116" s="12"/>
      <c r="F116" s="13"/>
    </row>
    <row r="117" spans="5:6" ht="15.75" customHeight="1" x14ac:dyDescent="0.25">
      <c r="E117" s="12"/>
      <c r="F117" s="13"/>
    </row>
    <row r="118" spans="5:6" ht="15.75" customHeight="1" x14ac:dyDescent="0.25">
      <c r="E118" s="12"/>
      <c r="F118" s="13"/>
    </row>
    <row r="119" spans="5:6" ht="15.75" customHeight="1" x14ac:dyDescent="0.25">
      <c r="E119" s="12"/>
      <c r="F119" s="13"/>
    </row>
    <row r="120" spans="5:6" ht="15.75" customHeight="1" x14ac:dyDescent="0.25">
      <c r="E120" s="12"/>
      <c r="F120" s="13"/>
    </row>
    <row r="121" spans="5:6" ht="15.75" customHeight="1" x14ac:dyDescent="0.25">
      <c r="E121" s="12"/>
      <c r="F121" s="13"/>
    </row>
    <row r="122" spans="5:6" ht="15.75" customHeight="1" x14ac:dyDescent="0.25">
      <c r="E122" s="12"/>
      <c r="F122" s="13"/>
    </row>
    <row r="123" spans="5:6" ht="15.75" customHeight="1" x14ac:dyDescent="0.25">
      <c r="E123" s="12"/>
      <c r="F123" s="13"/>
    </row>
    <row r="124" spans="5:6" ht="15.75" customHeight="1" x14ac:dyDescent="0.25">
      <c r="E124" s="12"/>
      <c r="F124" s="13"/>
    </row>
    <row r="125" spans="5:6" ht="15.75" customHeight="1" x14ac:dyDescent="0.25">
      <c r="E125" s="12"/>
      <c r="F125" s="13"/>
    </row>
    <row r="126" spans="5:6" ht="15.75" customHeight="1" x14ac:dyDescent="0.25">
      <c r="E126" s="12"/>
      <c r="F126" s="13"/>
    </row>
    <row r="127" spans="5:6" ht="15.75" customHeight="1" x14ac:dyDescent="0.25">
      <c r="E127" s="12"/>
      <c r="F127" s="13"/>
    </row>
    <row r="128" spans="5:6" ht="15.75" customHeight="1" x14ac:dyDescent="0.25">
      <c r="E128" s="12"/>
      <c r="F128" s="13"/>
    </row>
    <row r="129" spans="5:6" ht="15.75" customHeight="1" x14ac:dyDescent="0.25">
      <c r="E129" s="12"/>
      <c r="F129" s="13"/>
    </row>
    <row r="130" spans="5:6" ht="15.75" customHeight="1" x14ac:dyDescent="0.25">
      <c r="E130" s="12"/>
      <c r="F130" s="13"/>
    </row>
    <row r="131" spans="5:6" ht="15.75" customHeight="1" x14ac:dyDescent="0.25">
      <c r="E131" s="12"/>
      <c r="F131" s="13"/>
    </row>
    <row r="132" spans="5:6" ht="15.75" customHeight="1" x14ac:dyDescent="0.25">
      <c r="E132" s="12"/>
      <c r="F132" s="13"/>
    </row>
    <row r="133" spans="5:6" ht="15.75" customHeight="1" x14ac:dyDescent="0.25">
      <c r="E133" s="12"/>
      <c r="F133" s="13"/>
    </row>
    <row r="134" spans="5:6" ht="15.75" customHeight="1" x14ac:dyDescent="0.25">
      <c r="E134" s="12"/>
      <c r="F134" s="13"/>
    </row>
    <row r="135" spans="5:6" ht="15.75" customHeight="1" x14ac:dyDescent="0.25">
      <c r="E135" s="12"/>
      <c r="F135" s="13"/>
    </row>
    <row r="136" spans="5:6" ht="15.75" customHeight="1" x14ac:dyDescent="0.25">
      <c r="E136" s="12"/>
      <c r="F136" s="13"/>
    </row>
    <row r="137" spans="5:6" ht="15.75" customHeight="1" x14ac:dyDescent="0.25">
      <c r="E137" s="12"/>
      <c r="F137" s="13"/>
    </row>
    <row r="138" spans="5:6" ht="15.75" customHeight="1" x14ac:dyDescent="0.25">
      <c r="E138" s="12"/>
      <c r="F138" s="13"/>
    </row>
    <row r="139" spans="5:6" ht="15.75" customHeight="1" x14ac:dyDescent="0.25">
      <c r="E139" s="12"/>
      <c r="F139" s="13"/>
    </row>
    <row r="140" spans="5:6" ht="15.75" customHeight="1" x14ac:dyDescent="0.25">
      <c r="E140" s="12"/>
      <c r="F140" s="13"/>
    </row>
    <row r="141" spans="5:6" ht="15.75" customHeight="1" x14ac:dyDescent="0.25">
      <c r="E141" s="12"/>
      <c r="F141" s="13"/>
    </row>
    <row r="142" spans="5:6" ht="15.75" customHeight="1" x14ac:dyDescent="0.25">
      <c r="E142" s="12"/>
      <c r="F142" s="13"/>
    </row>
    <row r="143" spans="5:6" ht="15.75" customHeight="1" x14ac:dyDescent="0.25">
      <c r="E143" s="12"/>
      <c r="F143" s="13"/>
    </row>
    <row r="144" spans="5:6" ht="15.75" customHeight="1" x14ac:dyDescent="0.25">
      <c r="E144" s="12"/>
      <c r="F144" s="13"/>
    </row>
    <row r="145" spans="5:6" ht="15.75" customHeight="1" x14ac:dyDescent="0.25">
      <c r="E145" s="12"/>
      <c r="F145" s="13"/>
    </row>
    <row r="146" spans="5:6" ht="15.75" customHeight="1" x14ac:dyDescent="0.25">
      <c r="E146" s="12"/>
      <c r="F146" s="13"/>
    </row>
    <row r="147" spans="5:6" ht="15.75" customHeight="1" x14ac:dyDescent="0.25">
      <c r="E147" s="12"/>
      <c r="F147" s="13"/>
    </row>
    <row r="148" spans="5:6" ht="15.75" customHeight="1" x14ac:dyDescent="0.25">
      <c r="E148" s="12"/>
      <c r="F148" s="13"/>
    </row>
    <row r="149" spans="5:6" ht="15.75" customHeight="1" x14ac:dyDescent="0.25">
      <c r="E149" s="12"/>
      <c r="F149" s="13"/>
    </row>
    <row r="150" spans="5:6" ht="15.75" customHeight="1" x14ac:dyDescent="0.25">
      <c r="E150" s="12"/>
      <c r="F150" s="13"/>
    </row>
    <row r="151" spans="5:6" ht="15.75" customHeight="1" x14ac:dyDescent="0.25">
      <c r="E151" s="12"/>
      <c r="F151" s="13"/>
    </row>
    <row r="152" spans="5:6" ht="15.75" customHeight="1" x14ac:dyDescent="0.25">
      <c r="E152" s="12"/>
      <c r="F152" s="13"/>
    </row>
    <row r="153" spans="5:6" ht="15.75" customHeight="1" x14ac:dyDescent="0.25">
      <c r="E153" s="12"/>
      <c r="F153" s="13"/>
    </row>
    <row r="154" spans="5:6" ht="15.75" customHeight="1" x14ac:dyDescent="0.25">
      <c r="E154" s="12"/>
      <c r="F154" s="13"/>
    </row>
    <row r="155" spans="5:6" ht="15.75" customHeight="1" x14ac:dyDescent="0.25">
      <c r="E155" s="12"/>
      <c r="F155" s="13"/>
    </row>
    <row r="156" spans="5:6" ht="15.75" customHeight="1" x14ac:dyDescent="0.25">
      <c r="E156" s="12"/>
      <c r="F156" s="13"/>
    </row>
    <row r="157" spans="5:6" ht="15.75" customHeight="1" x14ac:dyDescent="0.25">
      <c r="E157" s="12"/>
      <c r="F157" s="13"/>
    </row>
    <row r="158" spans="5:6" ht="15.75" customHeight="1" x14ac:dyDescent="0.25">
      <c r="E158" s="12"/>
      <c r="F158" s="13"/>
    </row>
    <row r="159" spans="5:6" ht="15.75" customHeight="1" x14ac:dyDescent="0.25">
      <c r="E159" s="12"/>
      <c r="F159" s="13"/>
    </row>
    <row r="160" spans="5:6" ht="15.75" customHeight="1" x14ac:dyDescent="0.25">
      <c r="E160" s="12"/>
      <c r="F160" s="13"/>
    </row>
    <row r="161" spans="5:6" ht="15.75" customHeight="1" x14ac:dyDescent="0.25">
      <c r="E161" s="12"/>
      <c r="F161" s="13"/>
    </row>
    <row r="162" spans="5:6" ht="15.75" customHeight="1" x14ac:dyDescent="0.25">
      <c r="E162" s="12"/>
      <c r="F162" s="13"/>
    </row>
    <row r="163" spans="5:6" ht="15.75" customHeight="1" x14ac:dyDescent="0.25">
      <c r="E163" s="12"/>
      <c r="F163" s="13"/>
    </row>
    <row r="164" spans="5:6" ht="15.75" customHeight="1" x14ac:dyDescent="0.25">
      <c r="E164" s="12"/>
      <c r="F164" s="13"/>
    </row>
    <row r="165" spans="5:6" ht="15.75" customHeight="1" x14ac:dyDescent="0.25">
      <c r="E165" s="12"/>
      <c r="F165" s="13"/>
    </row>
    <row r="166" spans="5:6" ht="15.75" customHeight="1" x14ac:dyDescent="0.25">
      <c r="E166" s="12"/>
      <c r="F166" s="13"/>
    </row>
    <row r="167" spans="5:6" ht="15.75" customHeight="1" x14ac:dyDescent="0.25">
      <c r="E167" s="12"/>
      <c r="F167" s="13"/>
    </row>
    <row r="168" spans="5:6" ht="15.75" customHeight="1" x14ac:dyDescent="0.25">
      <c r="E168" s="12"/>
      <c r="F168" s="13"/>
    </row>
    <row r="169" spans="5:6" ht="15.75" customHeight="1" x14ac:dyDescent="0.25">
      <c r="E169" s="12"/>
      <c r="F169" s="13"/>
    </row>
    <row r="170" spans="5:6" ht="15.75" customHeight="1" x14ac:dyDescent="0.25">
      <c r="E170" s="12"/>
      <c r="F170" s="13"/>
    </row>
    <row r="171" spans="5:6" ht="15.75" customHeight="1" x14ac:dyDescent="0.25">
      <c r="E171" s="12"/>
      <c r="F171" s="13"/>
    </row>
    <row r="172" spans="5:6" ht="15.75" customHeight="1" x14ac:dyDescent="0.25">
      <c r="E172" s="12"/>
      <c r="F172" s="13"/>
    </row>
    <row r="173" spans="5:6" ht="15.75" customHeight="1" x14ac:dyDescent="0.25">
      <c r="E173" s="12"/>
      <c r="F173" s="13"/>
    </row>
    <row r="174" spans="5:6" ht="15.75" customHeight="1" x14ac:dyDescent="0.25">
      <c r="E174" s="12"/>
      <c r="F174" s="13"/>
    </row>
    <row r="175" spans="5:6" ht="15.75" customHeight="1" x14ac:dyDescent="0.25">
      <c r="E175" s="12"/>
      <c r="F175" s="13"/>
    </row>
    <row r="176" spans="5:6" ht="15.75" customHeight="1" x14ac:dyDescent="0.25">
      <c r="E176" s="12"/>
      <c r="F176" s="13"/>
    </row>
    <row r="177" spans="5:6" ht="15.75" customHeight="1" x14ac:dyDescent="0.25">
      <c r="E177" s="12"/>
      <c r="F177" s="13"/>
    </row>
    <row r="178" spans="5:6" ht="15.75" customHeight="1" x14ac:dyDescent="0.25">
      <c r="E178" s="12"/>
      <c r="F178" s="13"/>
    </row>
    <row r="179" spans="5:6" ht="15.75" customHeight="1" x14ac:dyDescent="0.25">
      <c r="E179" s="12"/>
      <c r="F179" s="13"/>
    </row>
    <row r="180" spans="5:6" ht="15.75" customHeight="1" x14ac:dyDescent="0.25">
      <c r="E180" s="12"/>
      <c r="F180" s="13"/>
    </row>
    <row r="181" spans="5:6" ht="15.75" customHeight="1" x14ac:dyDescent="0.25">
      <c r="E181" s="12"/>
      <c r="F181" s="13"/>
    </row>
    <row r="182" spans="5:6" ht="15.75" customHeight="1" x14ac:dyDescent="0.25">
      <c r="E182" s="12"/>
      <c r="F182" s="13"/>
    </row>
    <row r="183" spans="5:6" ht="15.75" customHeight="1" x14ac:dyDescent="0.25">
      <c r="E183" s="12"/>
      <c r="F183" s="13"/>
    </row>
    <row r="184" spans="5:6" ht="15.75" customHeight="1" x14ac:dyDescent="0.25">
      <c r="E184" s="12"/>
      <c r="F184" s="13"/>
    </row>
    <row r="185" spans="5:6" ht="15.75" customHeight="1" x14ac:dyDescent="0.25">
      <c r="E185" s="12"/>
      <c r="F185" s="13"/>
    </row>
    <row r="186" spans="5:6" ht="15.75" customHeight="1" x14ac:dyDescent="0.25">
      <c r="E186" s="12"/>
      <c r="F186" s="13"/>
    </row>
    <row r="187" spans="5:6" ht="15.75" customHeight="1" x14ac:dyDescent="0.25">
      <c r="E187" s="12"/>
      <c r="F187" s="13"/>
    </row>
    <row r="188" spans="5:6" ht="15.75" customHeight="1" x14ac:dyDescent="0.25">
      <c r="E188" s="12"/>
      <c r="F188" s="13"/>
    </row>
    <row r="189" spans="5:6" ht="15.75" customHeight="1" x14ac:dyDescent="0.25">
      <c r="E189" s="12"/>
      <c r="F189" s="13"/>
    </row>
    <row r="190" spans="5:6" ht="15.75" customHeight="1" x14ac:dyDescent="0.25">
      <c r="E190" s="12"/>
      <c r="F190" s="13"/>
    </row>
    <row r="191" spans="5:6" ht="15.75" customHeight="1" x14ac:dyDescent="0.25">
      <c r="E191" s="12"/>
      <c r="F191" s="13"/>
    </row>
    <row r="192" spans="5:6" ht="15.75" customHeight="1" x14ac:dyDescent="0.25">
      <c r="E192" s="12"/>
      <c r="F192" s="13"/>
    </row>
    <row r="193" spans="5:6" ht="15.75" customHeight="1" x14ac:dyDescent="0.25">
      <c r="E193" s="12"/>
      <c r="F193" s="13"/>
    </row>
    <row r="194" spans="5:6" ht="15.75" customHeight="1" x14ac:dyDescent="0.25">
      <c r="E194" s="12"/>
      <c r="F194" s="13"/>
    </row>
    <row r="195" spans="5:6" ht="15.75" customHeight="1" x14ac:dyDescent="0.25">
      <c r="E195" s="12"/>
      <c r="F195" s="13"/>
    </row>
    <row r="196" spans="5:6" ht="15.75" customHeight="1" x14ac:dyDescent="0.25">
      <c r="E196" s="12"/>
      <c r="F196" s="13"/>
    </row>
    <row r="197" spans="5:6" ht="15.75" customHeight="1" x14ac:dyDescent="0.25">
      <c r="E197" s="12"/>
      <c r="F197" s="13"/>
    </row>
    <row r="198" spans="5:6" ht="15.75" customHeight="1" x14ac:dyDescent="0.25">
      <c r="E198" s="12"/>
      <c r="F198" s="13"/>
    </row>
    <row r="199" spans="5:6" ht="15.75" customHeight="1" x14ac:dyDescent="0.25">
      <c r="E199" s="12"/>
      <c r="F199" s="13"/>
    </row>
    <row r="200" spans="5:6" ht="15.75" customHeight="1" x14ac:dyDescent="0.25">
      <c r="E200" s="12"/>
      <c r="F200" s="13"/>
    </row>
    <row r="201" spans="5:6" ht="15.75" customHeight="1" x14ac:dyDescent="0.25">
      <c r="E201" s="12"/>
      <c r="F201" s="13"/>
    </row>
    <row r="202" spans="5:6" ht="15.75" customHeight="1" x14ac:dyDescent="0.25">
      <c r="E202" s="12"/>
      <c r="F202" s="13"/>
    </row>
    <row r="203" spans="5:6" ht="15.75" customHeight="1" x14ac:dyDescent="0.25">
      <c r="E203" s="12"/>
      <c r="F203" s="13"/>
    </row>
    <row r="204" spans="5:6" ht="15.75" customHeight="1" x14ac:dyDescent="0.25">
      <c r="E204" s="12"/>
      <c r="F204" s="13"/>
    </row>
    <row r="205" spans="5:6" ht="15.75" customHeight="1" x14ac:dyDescent="0.25">
      <c r="E205" s="12"/>
      <c r="F205" s="13"/>
    </row>
    <row r="206" spans="5:6" ht="15.75" customHeight="1" x14ac:dyDescent="0.25">
      <c r="E206" s="12"/>
      <c r="F206" s="13"/>
    </row>
    <row r="207" spans="5:6" ht="15.75" customHeight="1" x14ac:dyDescent="0.25">
      <c r="E207" s="12"/>
      <c r="F207" s="13"/>
    </row>
    <row r="208" spans="5:6" ht="15.75" customHeight="1" x14ac:dyDescent="0.25">
      <c r="E208" s="12"/>
      <c r="F208" s="13"/>
    </row>
    <row r="209" spans="5:6" ht="15.75" customHeight="1" x14ac:dyDescent="0.25">
      <c r="E209" s="12"/>
      <c r="F209" s="13"/>
    </row>
    <row r="210" spans="5:6" ht="15.75" customHeight="1" x14ac:dyDescent="0.25">
      <c r="E210" s="12"/>
      <c r="F210" s="13"/>
    </row>
    <row r="211" spans="5:6" ht="15.75" customHeight="1" x14ac:dyDescent="0.25">
      <c r="E211" s="12"/>
      <c r="F211" s="13"/>
    </row>
    <row r="212" spans="5:6" ht="15.75" customHeight="1" x14ac:dyDescent="0.25">
      <c r="E212" s="12"/>
      <c r="F212" s="13"/>
    </row>
    <row r="213" spans="5:6" ht="15.75" customHeight="1" x14ac:dyDescent="0.25">
      <c r="E213" s="12"/>
      <c r="F213" s="13"/>
    </row>
    <row r="214" spans="5:6" ht="15.75" customHeight="1" x14ac:dyDescent="0.25">
      <c r="E214" s="12"/>
      <c r="F214" s="13"/>
    </row>
    <row r="215" spans="5:6" ht="15.75" customHeight="1" x14ac:dyDescent="0.25">
      <c r="E215" s="12"/>
      <c r="F215" s="13"/>
    </row>
    <row r="216" spans="5:6" ht="15.75" customHeight="1" x14ac:dyDescent="0.25">
      <c r="E216" s="12"/>
      <c r="F216" s="13"/>
    </row>
    <row r="217" spans="5:6" ht="15.75" customHeight="1" x14ac:dyDescent="0.25">
      <c r="E217" s="12"/>
      <c r="F217" s="13"/>
    </row>
    <row r="218" spans="5:6" ht="15.75" customHeight="1" x14ac:dyDescent="0.25">
      <c r="E218" s="12"/>
      <c r="F218" s="13"/>
    </row>
    <row r="219" spans="5:6" ht="15.75" customHeight="1" x14ac:dyDescent="0.25">
      <c r="E219" s="12"/>
      <c r="F219" s="13"/>
    </row>
    <row r="220" spans="5:6" ht="15.75" customHeight="1" x14ac:dyDescent="0.25">
      <c r="E220" s="12"/>
      <c r="F220" s="13"/>
    </row>
    <row r="221" spans="5:6" ht="15.75" customHeight="1" x14ac:dyDescent="0.25">
      <c r="E221" s="12"/>
      <c r="F221" s="13"/>
    </row>
    <row r="222" spans="5:6" ht="15.75" customHeight="1" x14ac:dyDescent="0.25">
      <c r="E222" s="12"/>
      <c r="F222" s="13"/>
    </row>
    <row r="223" spans="5:6" ht="15.75" customHeight="1" x14ac:dyDescent="0.25">
      <c r="E223" s="12"/>
      <c r="F223" s="13"/>
    </row>
    <row r="224" spans="5:6" ht="15.75" customHeight="1" x14ac:dyDescent="0.25">
      <c r="E224" s="12"/>
      <c r="F224" s="13"/>
    </row>
    <row r="225" spans="5:6" ht="15.75" customHeight="1" x14ac:dyDescent="0.25">
      <c r="E225" s="12"/>
      <c r="F225" s="13"/>
    </row>
    <row r="226" spans="5:6" ht="15.75" customHeight="1" x14ac:dyDescent="0.25">
      <c r="E226" s="12"/>
      <c r="F226" s="13"/>
    </row>
    <row r="227" spans="5:6" ht="15.75" customHeight="1" x14ac:dyDescent="0.25">
      <c r="E227" s="12"/>
      <c r="F227" s="13"/>
    </row>
    <row r="228" spans="5:6" ht="15.75" customHeight="1" x14ac:dyDescent="0.25">
      <c r="E228" s="12"/>
      <c r="F228" s="13"/>
    </row>
    <row r="229" spans="5:6" ht="15.75" customHeight="1" x14ac:dyDescent="0.25">
      <c r="E229" s="12"/>
      <c r="F229" s="13"/>
    </row>
    <row r="230" spans="5:6" ht="15.75" customHeight="1" x14ac:dyDescent="0.25">
      <c r="E230" s="12"/>
      <c r="F230" s="13"/>
    </row>
    <row r="231" spans="5:6" ht="15.75" customHeight="1" x14ac:dyDescent="0.25">
      <c r="E231" s="12"/>
      <c r="F231" s="13"/>
    </row>
    <row r="232" spans="5:6" ht="15.75" customHeight="1" x14ac:dyDescent="0.25">
      <c r="E232" s="12"/>
      <c r="F232" s="13"/>
    </row>
    <row r="233" spans="5:6" ht="15.75" customHeight="1" x14ac:dyDescent="0.25">
      <c r="E233" s="12"/>
      <c r="F233" s="13"/>
    </row>
    <row r="234" spans="5:6" ht="15.75" customHeight="1" x14ac:dyDescent="0.25">
      <c r="E234" s="12"/>
      <c r="F234" s="13"/>
    </row>
    <row r="235" spans="5:6" ht="15.75" customHeight="1" x14ac:dyDescent="0.25">
      <c r="E235" s="12"/>
      <c r="F235" s="13"/>
    </row>
    <row r="236" spans="5:6" ht="15.75" customHeight="1" x14ac:dyDescent="0.25">
      <c r="E236" s="12"/>
      <c r="F236" s="13"/>
    </row>
    <row r="237" spans="5:6" ht="15.75" customHeight="1" x14ac:dyDescent="0.25">
      <c r="E237" s="12"/>
      <c r="F237" s="13"/>
    </row>
    <row r="238" spans="5:6" ht="15.75" customHeight="1" x14ac:dyDescent="0.25">
      <c r="E238" s="12"/>
      <c r="F238" s="13"/>
    </row>
    <row r="239" spans="5:6" ht="15.75" customHeight="1" x14ac:dyDescent="0.25">
      <c r="E239" s="12"/>
      <c r="F239" s="13"/>
    </row>
    <row r="240" spans="5:6" ht="15.75" customHeight="1" x14ac:dyDescent="0.25">
      <c r="E240" s="12"/>
      <c r="F240" s="13"/>
    </row>
    <row r="241" spans="5:6" ht="15.75" customHeight="1" x14ac:dyDescent="0.25">
      <c r="E241" s="12"/>
      <c r="F241" s="13"/>
    </row>
    <row r="242" spans="5:6" ht="15.75" customHeight="1" x14ac:dyDescent="0.25">
      <c r="E242" s="12"/>
      <c r="F242" s="13"/>
    </row>
    <row r="243" spans="5:6" ht="15.75" customHeight="1" x14ac:dyDescent="0.25">
      <c r="E243" s="12"/>
      <c r="F243" s="13"/>
    </row>
    <row r="244" spans="5:6" ht="15.75" customHeight="1" x14ac:dyDescent="0.25">
      <c r="E244" s="12"/>
      <c r="F244" s="13"/>
    </row>
    <row r="245" spans="5:6" ht="15.75" customHeight="1" x14ac:dyDescent="0.25">
      <c r="E245" s="12"/>
      <c r="F245" s="13"/>
    </row>
    <row r="246" spans="5:6" ht="15.75" customHeight="1" x14ac:dyDescent="0.25">
      <c r="E246" s="12"/>
      <c r="F246" s="13"/>
    </row>
    <row r="247" spans="5:6" ht="15.75" customHeight="1" x14ac:dyDescent="0.25">
      <c r="E247" s="12"/>
      <c r="F247" s="13"/>
    </row>
    <row r="248" spans="5:6" ht="15.75" customHeight="1" x14ac:dyDescent="0.25">
      <c r="E248" s="12"/>
      <c r="F248" s="13"/>
    </row>
    <row r="249" spans="5:6" ht="15.75" customHeight="1" x14ac:dyDescent="0.25">
      <c r="E249" s="12"/>
      <c r="F249" s="13"/>
    </row>
    <row r="250" spans="5:6" ht="15.75" customHeight="1" x14ac:dyDescent="0.25">
      <c r="E250" s="12"/>
      <c r="F250" s="13"/>
    </row>
    <row r="251" spans="5:6" ht="15.75" customHeight="1" x14ac:dyDescent="0.25">
      <c r="E251" s="12"/>
      <c r="F251" s="13"/>
    </row>
    <row r="252" spans="5:6" ht="15.75" customHeight="1" x14ac:dyDescent="0.25">
      <c r="E252" s="12"/>
      <c r="F252" s="13"/>
    </row>
    <row r="253" spans="5:6" ht="15.75" customHeight="1" x14ac:dyDescent="0.25">
      <c r="E253" s="12"/>
      <c r="F253" s="13"/>
    </row>
    <row r="254" spans="5:6" ht="15.75" customHeight="1" x14ac:dyDescent="0.25">
      <c r="E254" s="12"/>
      <c r="F254" s="13"/>
    </row>
    <row r="255" spans="5:6" ht="15.75" customHeight="1" x14ac:dyDescent="0.25">
      <c r="E255" s="12"/>
      <c r="F255" s="13"/>
    </row>
    <row r="256" spans="5:6" ht="15.75" customHeight="1" x14ac:dyDescent="0.25">
      <c r="E256" s="12"/>
      <c r="F256" s="13"/>
    </row>
    <row r="257" spans="5:6" ht="15.75" customHeight="1" x14ac:dyDescent="0.25">
      <c r="E257" s="12"/>
      <c r="F257" s="13"/>
    </row>
    <row r="258" spans="5:6" ht="15.75" customHeight="1" x14ac:dyDescent="0.25">
      <c r="E258" s="12"/>
      <c r="F258" s="13"/>
    </row>
    <row r="259" spans="5:6" ht="15.75" customHeight="1" x14ac:dyDescent="0.25">
      <c r="E259" s="12"/>
      <c r="F259" s="13"/>
    </row>
    <row r="260" spans="5:6" ht="15.75" customHeight="1" x14ac:dyDescent="0.25">
      <c r="E260" s="12"/>
      <c r="F260" s="13"/>
    </row>
    <row r="261" spans="5:6" ht="15.75" customHeight="1" x14ac:dyDescent="0.25">
      <c r="E261" s="12"/>
      <c r="F261" s="13"/>
    </row>
    <row r="262" spans="5:6" ht="15.75" customHeight="1" x14ac:dyDescent="0.25">
      <c r="E262" s="12"/>
      <c r="F262" s="13"/>
    </row>
    <row r="263" spans="5:6" ht="15.75" customHeight="1" x14ac:dyDescent="0.25">
      <c r="E263" s="12"/>
      <c r="F263" s="13"/>
    </row>
    <row r="264" spans="5:6" ht="15.75" customHeight="1" x14ac:dyDescent="0.25">
      <c r="E264" s="12"/>
      <c r="F264" s="13"/>
    </row>
    <row r="265" spans="5:6" ht="15.75" customHeight="1" x14ac:dyDescent="0.25">
      <c r="E265" s="12"/>
      <c r="F265" s="13"/>
    </row>
    <row r="266" spans="5:6" ht="15.75" customHeight="1" x14ac:dyDescent="0.25">
      <c r="E266" s="12"/>
      <c r="F266" s="13"/>
    </row>
    <row r="267" spans="5:6" ht="15.75" customHeight="1" x14ac:dyDescent="0.25">
      <c r="E267" s="12"/>
      <c r="F267" s="13"/>
    </row>
    <row r="268" spans="5:6" ht="15.75" customHeight="1" x14ac:dyDescent="0.25">
      <c r="E268" s="12"/>
      <c r="F268" s="13"/>
    </row>
    <row r="269" spans="5:6" ht="15.75" customHeight="1" x14ac:dyDescent="0.25">
      <c r="E269" s="12"/>
      <c r="F269" s="13"/>
    </row>
    <row r="270" spans="5:6" ht="15.75" customHeight="1" x14ac:dyDescent="0.25">
      <c r="E270" s="12"/>
      <c r="F270" s="13"/>
    </row>
    <row r="271" spans="5:6" ht="15.75" customHeight="1" x14ac:dyDescent="0.25">
      <c r="E271" s="12"/>
      <c r="F271" s="13"/>
    </row>
    <row r="272" spans="5:6" ht="15.75" customHeight="1" x14ac:dyDescent="0.25">
      <c r="E272" s="12"/>
      <c r="F272" s="13"/>
    </row>
    <row r="273" spans="5:6" ht="15.75" customHeight="1" x14ac:dyDescent="0.25">
      <c r="E273" s="12"/>
      <c r="F273" s="13"/>
    </row>
    <row r="274" spans="5:6" ht="15.75" customHeight="1" x14ac:dyDescent="0.25">
      <c r="E274" s="12"/>
      <c r="F274" s="13"/>
    </row>
    <row r="275" spans="5:6" ht="15.75" customHeight="1" x14ac:dyDescent="0.25">
      <c r="E275" s="12"/>
      <c r="F275" s="13"/>
    </row>
    <row r="276" spans="5:6" ht="15.75" customHeight="1" x14ac:dyDescent="0.25">
      <c r="E276" s="12"/>
      <c r="F276" s="13"/>
    </row>
    <row r="277" spans="5:6" ht="15.75" customHeight="1" x14ac:dyDescent="0.25">
      <c r="E277" s="12"/>
      <c r="F277" s="13"/>
    </row>
    <row r="278" spans="5:6" ht="15.75" customHeight="1" x14ac:dyDescent="0.25">
      <c r="E278" s="12"/>
      <c r="F278" s="13"/>
    </row>
    <row r="279" spans="5:6" ht="15.75" customHeight="1" x14ac:dyDescent="0.25">
      <c r="E279" s="12"/>
      <c r="F279" s="13"/>
    </row>
    <row r="280" spans="5:6" ht="15.75" customHeight="1" x14ac:dyDescent="0.25">
      <c r="E280" s="12"/>
      <c r="F280" s="13"/>
    </row>
    <row r="281" spans="5:6" ht="15.75" customHeight="1" x14ac:dyDescent="0.25">
      <c r="E281" s="12"/>
      <c r="F281" s="13"/>
    </row>
    <row r="282" spans="5:6" ht="15.75" customHeight="1" x14ac:dyDescent="0.25">
      <c r="E282" s="12"/>
      <c r="F282" s="13"/>
    </row>
    <row r="283" spans="5:6" ht="15.75" customHeight="1" x14ac:dyDescent="0.25">
      <c r="E283" s="12"/>
      <c r="F283" s="13"/>
    </row>
    <row r="284" spans="5:6" ht="15.75" customHeight="1" x14ac:dyDescent="0.25">
      <c r="E284" s="12"/>
      <c r="F284" s="13"/>
    </row>
    <row r="285" spans="5:6" ht="15.75" customHeight="1" x14ac:dyDescent="0.25">
      <c r="E285" s="12"/>
      <c r="F285" s="13"/>
    </row>
    <row r="286" spans="5:6" ht="15.75" customHeight="1" x14ac:dyDescent="0.25">
      <c r="E286" s="12"/>
      <c r="F286" s="13"/>
    </row>
    <row r="287" spans="5:6" ht="15.75" customHeight="1" x14ac:dyDescent="0.25">
      <c r="E287" s="12"/>
      <c r="F287" s="13"/>
    </row>
    <row r="288" spans="5:6" ht="15.75" customHeight="1" x14ac:dyDescent="0.25">
      <c r="E288" s="12"/>
      <c r="F288" s="13"/>
    </row>
    <row r="289" spans="5:6" ht="15.75" customHeight="1" x14ac:dyDescent="0.25">
      <c r="E289" s="12"/>
      <c r="F289" s="13"/>
    </row>
    <row r="290" spans="5:6" ht="15.75" customHeight="1" x14ac:dyDescent="0.25">
      <c r="E290" s="12"/>
      <c r="F290" s="13"/>
    </row>
    <row r="291" spans="5:6" ht="15.75" customHeight="1" x14ac:dyDescent="0.25">
      <c r="E291" s="12"/>
      <c r="F291" s="13"/>
    </row>
    <row r="292" spans="5:6" ht="15.75" customHeight="1" x14ac:dyDescent="0.25">
      <c r="E292" s="12"/>
      <c r="F292" s="13"/>
    </row>
    <row r="293" spans="5:6" ht="15.75" customHeight="1" x14ac:dyDescent="0.25">
      <c r="E293" s="12"/>
      <c r="F293" s="13"/>
    </row>
    <row r="294" spans="5:6" ht="15.75" customHeight="1" x14ac:dyDescent="0.25">
      <c r="E294" s="12"/>
      <c r="F294" s="13"/>
    </row>
    <row r="295" spans="5:6" ht="15.75" customHeight="1" x14ac:dyDescent="0.25">
      <c r="E295" s="12"/>
      <c r="F295" s="13"/>
    </row>
    <row r="296" spans="5:6" ht="15.75" customHeight="1" x14ac:dyDescent="0.25">
      <c r="E296" s="12"/>
      <c r="F296" s="13"/>
    </row>
    <row r="297" spans="5:6" ht="15.75" customHeight="1" x14ac:dyDescent="0.25">
      <c r="E297" s="12"/>
      <c r="F297" s="13"/>
    </row>
    <row r="298" spans="5:6" ht="15.75" customHeight="1" x14ac:dyDescent="0.25">
      <c r="E298" s="12"/>
      <c r="F298" s="13"/>
    </row>
    <row r="299" spans="5:6" ht="15.75" customHeight="1" x14ac:dyDescent="0.25">
      <c r="E299" s="12"/>
      <c r="F299" s="13"/>
    </row>
    <row r="300" spans="5:6" ht="15.75" customHeight="1" x14ac:dyDescent="0.25">
      <c r="E300" s="12"/>
      <c r="F300" s="13"/>
    </row>
    <row r="301" spans="5:6" ht="15.75" customHeight="1" x14ac:dyDescent="0.25">
      <c r="E301" s="12"/>
      <c r="F301" s="13"/>
    </row>
    <row r="302" spans="5:6" ht="15.75" customHeight="1" x14ac:dyDescent="0.25">
      <c r="E302" s="12"/>
      <c r="F302" s="13"/>
    </row>
    <row r="303" spans="5:6" ht="15.75" customHeight="1" x14ac:dyDescent="0.25">
      <c r="E303" s="12"/>
      <c r="F303" s="13"/>
    </row>
    <row r="304" spans="5:6" ht="15.75" customHeight="1" x14ac:dyDescent="0.25">
      <c r="E304" s="12"/>
      <c r="F304" s="13"/>
    </row>
    <row r="305" spans="5:6" ht="15.75" customHeight="1" x14ac:dyDescent="0.25">
      <c r="E305" s="12"/>
      <c r="F305" s="13"/>
    </row>
    <row r="306" spans="5:6" ht="15.75" customHeight="1" x14ac:dyDescent="0.25">
      <c r="E306" s="12"/>
      <c r="F306" s="13"/>
    </row>
    <row r="307" spans="5:6" ht="15.75" customHeight="1" x14ac:dyDescent="0.25">
      <c r="E307" s="12"/>
      <c r="F307" s="13"/>
    </row>
    <row r="308" spans="5:6" ht="15.75" customHeight="1" x14ac:dyDescent="0.25">
      <c r="E308" s="12"/>
      <c r="F308" s="13"/>
    </row>
    <row r="309" spans="5:6" ht="15.75" customHeight="1" x14ac:dyDescent="0.25">
      <c r="E309" s="12"/>
      <c r="F309" s="13"/>
    </row>
    <row r="310" spans="5:6" ht="15.75" customHeight="1" x14ac:dyDescent="0.25">
      <c r="E310" s="12"/>
      <c r="F310" s="13"/>
    </row>
    <row r="311" spans="5:6" ht="15.75" customHeight="1" x14ac:dyDescent="0.25">
      <c r="E311" s="12"/>
      <c r="F311" s="13"/>
    </row>
    <row r="312" spans="5:6" ht="15.75" customHeight="1" x14ac:dyDescent="0.25">
      <c r="E312" s="12"/>
      <c r="F312" s="13"/>
    </row>
    <row r="313" spans="5:6" ht="15.75" customHeight="1" x14ac:dyDescent="0.25">
      <c r="E313" s="12"/>
      <c r="F313" s="13"/>
    </row>
    <row r="314" spans="5:6" ht="15.75" customHeight="1" x14ac:dyDescent="0.25">
      <c r="E314" s="12"/>
      <c r="F314" s="13"/>
    </row>
    <row r="315" spans="5:6" ht="15.75" customHeight="1" x14ac:dyDescent="0.25">
      <c r="E315" s="12"/>
      <c r="F315" s="13"/>
    </row>
    <row r="316" spans="5:6" ht="15.75" customHeight="1" x14ac:dyDescent="0.25">
      <c r="E316" s="12"/>
      <c r="F316" s="13"/>
    </row>
    <row r="317" spans="5:6" ht="15.75" customHeight="1" x14ac:dyDescent="0.25">
      <c r="E317" s="12"/>
      <c r="F317" s="13"/>
    </row>
    <row r="318" spans="5:6" ht="15.75" customHeight="1" x14ac:dyDescent="0.25">
      <c r="E318" s="12"/>
      <c r="F318" s="13"/>
    </row>
    <row r="319" spans="5:6" ht="15.75" customHeight="1" x14ac:dyDescent="0.25">
      <c r="E319" s="12"/>
      <c r="F319" s="13"/>
    </row>
    <row r="320" spans="5:6" ht="15.75" customHeight="1" x14ac:dyDescent="0.25">
      <c r="E320" s="12"/>
      <c r="F320" s="13"/>
    </row>
    <row r="321" spans="5:6" ht="15.75" customHeight="1" x14ac:dyDescent="0.25">
      <c r="E321" s="12"/>
      <c r="F321" s="13"/>
    </row>
    <row r="322" spans="5:6" ht="15.75" customHeight="1" x14ac:dyDescent="0.25">
      <c r="E322" s="12"/>
      <c r="F322" s="13"/>
    </row>
    <row r="323" spans="5:6" ht="15.75" customHeight="1" x14ac:dyDescent="0.25">
      <c r="E323" s="12"/>
      <c r="F323" s="13"/>
    </row>
    <row r="324" spans="5:6" ht="15.75" customHeight="1" x14ac:dyDescent="0.25">
      <c r="E324" s="12"/>
      <c r="F324" s="13"/>
    </row>
    <row r="325" spans="5:6" ht="15.75" customHeight="1" x14ac:dyDescent="0.25">
      <c r="E325" s="12"/>
      <c r="F325" s="13"/>
    </row>
    <row r="326" spans="5:6" ht="15.75" customHeight="1" x14ac:dyDescent="0.25">
      <c r="E326" s="12"/>
      <c r="F326" s="13"/>
    </row>
    <row r="327" spans="5:6" ht="15.75" customHeight="1" x14ac:dyDescent="0.25">
      <c r="E327" s="12"/>
      <c r="F327" s="13"/>
    </row>
    <row r="328" spans="5:6" ht="15.75" customHeight="1" x14ac:dyDescent="0.25">
      <c r="E328" s="12"/>
      <c r="F328" s="13"/>
    </row>
    <row r="329" spans="5:6" ht="15.75" customHeight="1" x14ac:dyDescent="0.25">
      <c r="E329" s="12"/>
      <c r="F329" s="13"/>
    </row>
    <row r="330" spans="5:6" ht="15.75" customHeight="1" x14ac:dyDescent="0.25">
      <c r="E330" s="12"/>
      <c r="F330" s="13"/>
    </row>
    <row r="331" spans="5:6" ht="15.75" customHeight="1" x14ac:dyDescent="0.25">
      <c r="E331" s="12"/>
      <c r="F331" s="13"/>
    </row>
    <row r="332" spans="5:6" ht="15.75" customHeight="1" x14ac:dyDescent="0.25">
      <c r="E332" s="12"/>
      <c r="F332" s="13"/>
    </row>
    <row r="333" spans="5:6" ht="15.75" customHeight="1" x14ac:dyDescent="0.25">
      <c r="E333" s="12"/>
      <c r="F333" s="13"/>
    </row>
    <row r="334" spans="5:6" ht="15.75" customHeight="1" x14ac:dyDescent="0.25">
      <c r="E334" s="12"/>
      <c r="F334" s="13"/>
    </row>
    <row r="335" spans="5:6" ht="15.75" customHeight="1" x14ac:dyDescent="0.25">
      <c r="E335" s="12"/>
      <c r="F335" s="13"/>
    </row>
    <row r="336" spans="5:6" ht="15.75" customHeight="1" x14ac:dyDescent="0.25">
      <c r="E336" s="12"/>
      <c r="F336" s="13"/>
    </row>
    <row r="337" spans="5:6" ht="15.75" customHeight="1" x14ac:dyDescent="0.25">
      <c r="E337" s="12"/>
      <c r="F337" s="13"/>
    </row>
    <row r="338" spans="5:6" ht="15.75" customHeight="1" x14ac:dyDescent="0.25">
      <c r="E338" s="12"/>
      <c r="F338" s="13"/>
    </row>
    <row r="339" spans="5:6" ht="15.75" customHeight="1" x14ac:dyDescent="0.25">
      <c r="E339" s="12"/>
      <c r="F339" s="13"/>
    </row>
    <row r="340" spans="5:6" ht="15.75" customHeight="1" x14ac:dyDescent="0.25">
      <c r="E340" s="12"/>
      <c r="F340" s="13"/>
    </row>
    <row r="341" spans="5:6" ht="15.75" customHeight="1" x14ac:dyDescent="0.25">
      <c r="E341" s="12"/>
      <c r="F341" s="13"/>
    </row>
    <row r="342" spans="5:6" ht="15.75" customHeight="1" x14ac:dyDescent="0.25">
      <c r="E342" s="12"/>
      <c r="F342" s="13"/>
    </row>
    <row r="343" spans="5:6" ht="15.75" customHeight="1" x14ac:dyDescent="0.25">
      <c r="E343" s="12"/>
      <c r="F343" s="13"/>
    </row>
    <row r="344" spans="5:6" ht="15.75" customHeight="1" x14ac:dyDescent="0.25">
      <c r="E344" s="12"/>
      <c r="F344" s="13"/>
    </row>
    <row r="345" spans="5:6" ht="15.75" customHeight="1" x14ac:dyDescent="0.25">
      <c r="E345" s="12"/>
      <c r="F345" s="13"/>
    </row>
    <row r="346" spans="5:6" ht="15.75" customHeight="1" x14ac:dyDescent="0.25">
      <c r="E346" s="12"/>
      <c r="F346" s="13"/>
    </row>
    <row r="347" spans="5:6" ht="15.75" customHeight="1" x14ac:dyDescent="0.25">
      <c r="E347" s="12"/>
      <c r="F347" s="13"/>
    </row>
    <row r="348" spans="5:6" ht="15.75" customHeight="1" x14ac:dyDescent="0.25">
      <c r="E348" s="12"/>
      <c r="F348" s="13"/>
    </row>
    <row r="349" spans="5:6" ht="15.75" customHeight="1" x14ac:dyDescent="0.25">
      <c r="E349" s="12"/>
      <c r="F349" s="13"/>
    </row>
    <row r="350" spans="5:6" ht="15.75" customHeight="1" x14ac:dyDescent="0.25">
      <c r="E350" s="12"/>
      <c r="F350" s="13"/>
    </row>
    <row r="351" spans="5:6" ht="15.75" customHeight="1" x14ac:dyDescent="0.25">
      <c r="E351" s="12"/>
      <c r="F351" s="13"/>
    </row>
    <row r="352" spans="5:6" ht="15.75" customHeight="1" x14ac:dyDescent="0.25">
      <c r="E352" s="12"/>
      <c r="F352" s="13"/>
    </row>
    <row r="353" spans="5:6" ht="15.75" customHeight="1" x14ac:dyDescent="0.25">
      <c r="E353" s="12"/>
      <c r="F353" s="13"/>
    </row>
    <row r="354" spans="5:6" ht="15.75" customHeight="1" x14ac:dyDescent="0.25">
      <c r="E354" s="12"/>
      <c r="F354" s="13"/>
    </row>
    <row r="355" spans="5:6" ht="15.75" customHeight="1" x14ac:dyDescent="0.25">
      <c r="E355" s="12"/>
      <c r="F355" s="13"/>
    </row>
    <row r="356" spans="5:6" ht="15.75" customHeight="1" x14ac:dyDescent="0.25">
      <c r="E356" s="12"/>
      <c r="F356" s="13"/>
    </row>
    <row r="357" spans="5:6" ht="15.75" customHeight="1" x14ac:dyDescent="0.25">
      <c r="E357" s="12"/>
      <c r="F357" s="13"/>
    </row>
    <row r="358" spans="5:6" ht="15.75" customHeight="1" x14ac:dyDescent="0.25">
      <c r="E358" s="12"/>
      <c r="F358" s="13"/>
    </row>
    <row r="359" spans="5:6" ht="15.75" customHeight="1" x14ac:dyDescent="0.25">
      <c r="E359" s="12"/>
      <c r="F359" s="13"/>
    </row>
    <row r="360" spans="5:6" ht="15.75" customHeight="1" x14ac:dyDescent="0.25">
      <c r="E360" s="12"/>
      <c r="F360" s="13"/>
    </row>
    <row r="361" spans="5:6" ht="15.75" customHeight="1" x14ac:dyDescent="0.25">
      <c r="E361" s="12"/>
      <c r="F361" s="13"/>
    </row>
    <row r="362" spans="5:6" ht="15.75" customHeight="1" x14ac:dyDescent="0.25">
      <c r="E362" s="12"/>
      <c r="F362" s="13"/>
    </row>
    <row r="363" spans="5:6" ht="15.75" customHeight="1" x14ac:dyDescent="0.25">
      <c r="E363" s="12"/>
      <c r="F363" s="13"/>
    </row>
    <row r="364" spans="5:6" ht="15.75" customHeight="1" x14ac:dyDescent="0.25">
      <c r="E364" s="12"/>
      <c r="F364" s="13"/>
    </row>
    <row r="365" spans="5:6" ht="15.75" customHeight="1" x14ac:dyDescent="0.25">
      <c r="E365" s="12"/>
      <c r="F365" s="13"/>
    </row>
    <row r="366" spans="5:6" ht="15.75" customHeight="1" x14ac:dyDescent="0.25">
      <c r="E366" s="12"/>
      <c r="F366" s="13"/>
    </row>
    <row r="367" spans="5:6" ht="15.75" customHeight="1" x14ac:dyDescent="0.25">
      <c r="E367" s="12"/>
      <c r="F367" s="13"/>
    </row>
    <row r="368" spans="5:6" ht="15.75" customHeight="1" x14ac:dyDescent="0.25">
      <c r="E368" s="12"/>
      <c r="F368" s="13"/>
    </row>
    <row r="369" spans="5:6" ht="15.75" customHeight="1" x14ac:dyDescent="0.25">
      <c r="E369" s="12"/>
      <c r="F369" s="13"/>
    </row>
    <row r="370" spans="5:6" ht="15.75" customHeight="1" x14ac:dyDescent="0.25">
      <c r="E370" s="12"/>
      <c r="F370" s="13"/>
    </row>
    <row r="371" spans="5:6" ht="15.75" customHeight="1" x14ac:dyDescent="0.25">
      <c r="E371" s="12"/>
      <c r="F371" s="13"/>
    </row>
    <row r="372" spans="5:6" ht="15.75" customHeight="1" x14ac:dyDescent="0.25">
      <c r="E372" s="12"/>
      <c r="F372" s="13"/>
    </row>
    <row r="373" spans="5:6" ht="15.75" customHeight="1" x14ac:dyDescent="0.25">
      <c r="E373" s="12"/>
      <c r="F373" s="13"/>
    </row>
    <row r="374" spans="5:6" ht="15.75" customHeight="1" x14ac:dyDescent="0.25">
      <c r="E374" s="12"/>
      <c r="F374" s="13"/>
    </row>
    <row r="375" spans="5:6" ht="15.75" customHeight="1" x14ac:dyDescent="0.25">
      <c r="E375" s="12"/>
      <c r="F375" s="13"/>
    </row>
    <row r="376" spans="5:6" ht="15.75" customHeight="1" x14ac:dyDescent="0.25">
      <c r="E376" s="12"/>
      <c r="F376" s="13"/>
    </row>
    <row r="377" spans="5:6" ht="15.75" customHeight="1" x14ac:dyDescent="0.25">
      <c r="E377" s="12"/>
      <c r="F377" s="13"/>
    </row>
    <row r="378" spans="5:6" ht="15.75" customHeight="1" x14ac:dyDescent="0.25">
      <c r="E378" s="12"/>
      <c r="F378" s="13"/>
    </row>
    <row r="379" spans="5:6" ht="15.75" customHeight="1" x14ac:dyDescent="0.25">
      <c r="E379" s="12"/>
      <c r="F379" s="13"/>
    </row>
    <row r="380" spans="5:6" ht="15.75" customHeight="1" x14ac:dyDescent="0.25">
      <c r="E380" s="12"/>
      <c r="F380" s="13"/>
    </row>
    <row r="381" spans="5:6" ht="15.75" customHeight="1" x14ac:dyDescent="0.25">
      <c r="E381" s="12"/>
      <c r="F381" s="13"/>
    </row>
    <row r="382" spans="5:6" ht="15.75" customHeight="1" x14ac:dyDescent="0.25">
      <c r="E382" s="12"/>
      <c r="F382" s="13"/>
    </row>
    <row r="383" spans="5:6" ht="15.75" customHeight="1" x14ac:dyDescent="0.25">
      <c r="E383" s="12"/>
      <c r="F383" s="13"/>
    </row>
    <row r="384" spans="5:6" ht="15.75" customHeight="1" x14ac:dyDescent="0.25">
      <c r="E384" s="12"/>
      <c r="F384" s="13"/>
    </row>
    <row r="385" spans="5:6" ht="15.75" customHeight="1" x14ac:dyDescent="0.25">
      <c r="E385" s="12"/>
      <c r="F385" s="13"/>
    </row>
    <row r="386" spans="5:6" ht="15.75" customHeight="1" x14ac:dyDescent="0.25">
      <c r="E386" s="12"/>
      <c r="F386" s="13"/>
    </row>
    <row r="387" spans="5:6" ht="15.75" customHeight="1" x14ac:dyDescent="0.25">
      <c r="E387" s="12"/>
      <c r="F387" s="13"/>
    </row>
    <row r="388" spans="5:6" ht="15.75" customHeight="1" x14ac:dyDescent="0.25">
      <c r="E388" s="12"/>
      <c r="F388" s="13"/>
    </row>
    <row r="389" spans="5:6" ht="15.75" customHeight="1" x14ac:dyDescent="0.25">
      <c r="E389" s="12"/>
      <c r="F389" s="13"/>
    </row>
    <row r="390" spans="5:6" ht="15.75" customHeight="1" x14ac:dyDescent="0.25">
      <c r="E390" s="12"/>
      <c r="F390" s="13"/>
    </row>
    <row r="391" spans="5:6" ht="15.75" customHeight="1" x14ac:dyDescent="0.25">
      <c r="E391" s="12"/>
      <c r="F391" s="13"/>
    </row>
    <row r="392" spans="5:6" ht="15.75" customHeight="1" x14ac:dyDescent="0.25">
      <c r="E392" s="12"/>
      <c r="F392" s="13"/>
    </row>
    <row r="393" spans="5:6" ht="15.75" customHeight="1" x14ac:dyDescent="0.25">
      <c r="E393" s="12"/>
      <c r="F393" s="13"/>
    </row>
    <row r="394" spans="5:6" ht="15.75" customHeight="1" x14ac:dyDescent="0.25">
      <c r="E394" s="12"/>
      <c r="F394" s="13"/>
    </row>
    <row r="395" spans="5:6" ht="15.75" customHeight="1" x14ac:dyDescent="0.25">
      <c r="E395" s="12"/>
      <c r="F395" s="13"/>
    </row>
    <row r="396" spans="5:6" ht="15.75" customHeight="1" x14ac:dyDescent="0.25">
      <c r="E396" s="12"/>
      <c r="F396" s="13"/>
    </row>
    <row r="397" spans="5:6" ht="15.75" customHeight="1" x14ac:dyDescent="0.25">
      <c r="E397" s="12"/>
      <c r="F397" s="13"/>
    </row>
    <row r="398" spans="5:6" ht="15.75" customHeight="1" x14ac:dyDescent="0.25">
      <c r="E398" s="12"/>
      <c r="F398" s="13"/>
    </row>
    <row r="399" spans="5:6" ht="15.75" customHeight="1" x14ac:dyDescent="0.25">
      <c r="E399" s="12"/>
      <c r="F399" s="13"/>
    </row>
    <row r="400" spans="5:6" ht="15.75" customHeight="1" x14ac:dyDescent="0.25">
      <c r="E400" s="12"/>
      <c r="F400" s="13"/>
    </row>
    <row r="401" spans="5:6" ht="15.75" customHeight="1" x14ac:dyDescent="0.25">
      <c r="E401" s="12"/>
      <c r="F401" s="13"/>
    </row>
    <row r="402" spans="5:6" ht="15.75" customHeight="1" x14ac:dyDescent="0.25">
      <c r="E402" s="12"/>
      <c r="F402" s="13"/>
    </row>
    <row r="403" spans="5:6" ht="15.75" customHeight="1" x14ac:dyDescent="0.25">
      <c r="E403" s="12"/>
      <c r="F403" s="13"/>
    </row>
    <row r="404" spans="5:6" ht="15.75" customHeight="1" x14ac:dyDescent="0.25">
      <c r="E404" s="12"/>
      <c r="F404" s="13"/>
    </row>
    <row r="405" spans="5:6" ht="15.75" customHeight="1" x14ac:dyDescent="0.25">
      <c r="E405" s="12"/>
      <c r="F405" s="13"/>
    </row>
    <row r="406" spans="5:6" ht="15.75" customHeight="1" x14ac:dyDescent="0.25">
      <c r="E406" s="12"/>
      <c r="F406" s="13"/>
    </row>
    <row r="407" spans="5:6" ht="15.75" customHeight="1" x14ac:dyDescent="0.25">
      <c r="E407" s="12"/>
      <c r="F407" s="13"/>
    </row>
    <row r="408" spans="5:6" ht="15.75" customHeight="1" x14ac:dyDescent="0.25">
      <c r="E408" s="12"/>
      <c r="F408" s="13"/>
    </row>
    <row r="409" spans="5:6" ht="15.75" customHeight="1" x14ac:dyDescent="0.25">
      <c r="E409" s="12"/>
      <c r="F409" s="13"/>
    </row>
    <row r="410" spans="5:6" ht="15.75" customHeight="1" x14ac:dyDescent="0.25">
      <c r="E410" s="12"/>
      <c r="F410" s="13"/>
    </row>
    <row r="411" spans="5:6" ht="15.75" customHeight="1" x14ac:dyDescent="0.25">
      <c r="E411" s="12"/>
      <c r="F411" s="13"/>
    </row>
    <row r="412" spans="5:6" ht="15.75" customHeight="1" x14ac:dyDescent="0.25">
      <c r="E412" s="12"/>
      <c r="F412" s="13"/>
    </row>
    <row r="413" spans="5:6" ht="15.75" customHeight="1" x14ac:dyDescent="0.25">
      <c r="E413" s="12"/>
      <c r="F413" s="13"/>
    </row>
    <row r="414" spans="5:6" ht="15.75" customHeight="1" x14ac:dyDescent="0.25">
      <c r="E414" s="12"/>
      <c r="F414" s="13"/>
    </row>
    <row r="415" spans="5:6" ht="15.75" customHeight="1" x14ac:dyDescent="0.25">
      <c r="E415" s="12"/>
      <c r="F415" s="13"/>
    </row>
    <row r="416" spans="5:6" ht="15.75" customHeight="1" x14ac:dyDescent="0.25">
      <c r="E416" s="12"/>
      <c r="F416" s="13"/>
    </row>
    <row r="417" spans="5:6" ht="15.75" customHeight="1" x14ac:dyDescent="0.25">
      <c r="E417" s="12"/>
      <c r="F417" s="13"/>
    </row>
    <row r="418" spans="5:6" ht="15.75" customHeight="1" x14ac:dyDescent="0.25">
      <c r="E418" s="12"/>
      <c r="F418" s="13"/>
    </row>
    <row r="419" spans="5:6" ht="15.75" customHeight="1" x14ac:dyDescent="0.25">
      <c r="E419" s="12"/>
      <c r="F419" s="13"/>
    </row>
    <row r="420" spans="5:6" ht="15.75" customHeight="1" x14ac:dyDescent="0.25">
      <c r="E420" s="12"/>
      <c r="F420" s="13"/>
    </row>
    <row r="421" spans="5:6" ht="15.75" customHeight="1" x14ac:dyDescent="0.25">
      <c r="E421" s="12"/>
      <c r="F421" s="13"/>
    </row>
    <row r="422" spans="5:6" ht="15.75" customHeight="1" x14ac:dyDescent="0.25">
      <c r="E422" s="12"/>
      <c r="F422" s="13"/>
    </row>
    <row r="423" spans="5:6" ht="15.75" customHeight="1" x14ac:dyDescent="0.25">
      <c r="E423" s="12"/>
      <c r="F423" s="13"/>
    </row>
    <row r="424" spans="5:6" ht="15.75" customHeight="1" x14ac:dyDescent="0.25">
      <c r="E424" s="12"/>
      <c r="F424" s="13"/>
    </row>
    <row r="425" spans="5:6" ht="15.75" customHeight="1" x14ac:dyDescent="0.25">
      <c r="E425" s="12"/>
      <c r="F425" s="13"/>
    </row>
    <row r="426" spans="5:6" ht="15.75" customHeight="1" x14ac:dyDescent="0.25">
      <c r="E426" s="12"/>
      <c r="F426" s="13"/>
    </row>
    <row r="427" spans="5:6" ht="15.75" customHeight="1" x14ac:dyDescent="0.25">
      <c r="E427" s="12"/>
      <c r="F427" s="13"/>
    </row>
    <row r="428" spans="5:6" ht="15.75" customHeight="1" x14ac:dyDescent="0.25">
      <c r="E428" s="12"/>
      <c r="F428" s="13"/>
    </row>
    <row r="429" spans="5:6" ht="15.75" customHeight="1" x14ac:dyDescent="0.25">
      <c r="E429" s="12"/>
      <c r="F429" s="13"/>
    </row>
    <row r="430" spans="5:6" ht="15.75" customHeight="1" x14ac:dyDescent="0.25">
      <c r="E430" s="12"/>
      <c r="F430" s="13"/>
    </row>
    <row r="431" spans="5:6" ht="15.75" customHeight="1" x14ac:dyDescent="0.25">
      <c r="E431" s="12"/>
      <c r="F431" s="13"/>
    </row>
    <row r="432" spans="5:6" ht="15.75" customHeight="1" x14ac:dyDescent="0.25">
      <c r="E432" s="12"/>
      <c r="F432" s="13"/>
    </row>
    <row r="433" spans="5:6" ht="15.75" customHeight="1" x14ac:dyDescent="0.25">
      <c r="E433" s="12"/>
      <c r="F433" s="13"/>
    </row>
    <row r="434" spans="5:6" ht="15.75" customHeight="1" x14ac:dyDescent="0.25">
      <c r="E434" s="12"/>
      <c r="F434" s="13"/>
    </row>
    <row r="435" spans="5:6" ht="15.75" customHeight="1" x14ac:dyDescent="0.25">
      <c r="E435" s="12"/>
      <c r="F435" s="13"/>
    </row>
    <row r="436" spans="5:6" ht="15.75" customHeight="1" x14ac:dyDescent="0.25">
      <c r="E436" s="12"/>
      <c r="F436" s="13"/>
    </row>
    <row r="437" spans="5:6" ht="15.75" customHeight="1" x14ac:dyDescent="0.25">
      <c r="E437" s="12"/>
      <c r="F437" s="13"/>
    </row>
    <row r="438" spans="5:6" ht="15.75" customHeight="1" x14ac:dyDescent="0.25">
      <c r="E438" s="12"/>
      <c r="F438" s="13"/>
    </row>
    <row r="439" spans="5:6" ht="15.75" customHeight="1" x14ac:dyDescent="0.25">
      <c r="E439" s="12"/>
      <c r="F439" s="13"/>
    </row>
    <row r="440" spans="5:6" ht="15.75" customHeight="1" x14ac:dyDescent="0.25">
      <c r="E440" s="12"/>
      <c r="F440" s="13"/>
    </row>
    <row r="441" spans="5:6" ht="15.75" customHeight="1" x14ac:dyDescent="0.25">
      <c r="E441" s="12"/>
      <c r="F441" s="13"/>
    </row>
    <row r="442" spans="5:6" ht="15.75" customHeight="1" x14ac:dyDescent="0.25">
      <c r="E442" s="12"/>
      <c r="F442" s="13"/>
    </row>
    <row r="443" spans="5:6" ht="15.75" customHeight="1" x14ac:dyDescent="0.25">
      <c r="E443" s="12"/>
      <c r="F443" s="13"/>
    </row>
    <row r="444" spans="5:6" ht="15.75" customHeight="1" x14ac:dyDescent="0.25">
      <c r="E444" s="12"/>
      <c r="F444" s="13"/>
    </row>
    <row r="445" spans="5:6" ht="15.75" customHeight="1" x14ac:dyDescent="0.25">
      <c r="E445" s="12"/>
      <c r="F445" s="13"/>
    </row>
    <row r="446" spans="5:6" ht="15.75" customHeight="1" x14ac:dyDescent="0.25">
      <c r="E446" s="12"/>
      <c r="F446" s="13"/>
    </row>
    <row r="447" spans="5:6" ht="15.75" customHeight="1" x14ac:dyDescent="0.25">
      <c r="E447" s="12"/>
      <c r="F447" s="13"/>
    </row>
    <row r="448" spans="5:6" ht="15.75" customHeight="1" x14ac:dyDescent="0.25">
      <c r="E448" s="12"/>
      <c r="F448" s="13"/>
    </row>
    <row r="449" spans="5:6" ht="15.75" customHeight="1" x14ac:dyDescent="0.25">
      <c r="E449" s="12"/>
      <c r="F449" s="13"/>
    </row>
    <row r="450" spans="5:6" ht="15.75" customHeight="1" x14ac:dyDescent="0.25">
      <c r="E450" s="12"/>
      <c r="F450" s="13"/>
    </row>
    <row r="451" spans="5:6" ht="15.75" customHeight="1" x14ac:dyDescent="0.25">
      <c r="E451" s="12"/>
      <c r="F451" s="13"/>
    </row>
    <row r="452" spans="5:6" ht="15.75" customHeight="1" x14ac:dyDescent="0.25">
      <c r="E452" s="12"/>
      <c r="F452" s="13"/>
    </row>
    <row r="453" spans="5:6" ht="15.75" customHeight="1" x14ac:dyDescent="0.25">
      <c r="E453" s="12"/>
      <c r="F453" s="13"/>
    </row>
    <row r="454" spans="5:6" ht="15.75" customHeight="1" x14ac:dyDescent="0.25">
      <c r="E454" s="12"/>
      <c r="F454" s="13"/>
    </row>
    <row r="455" spans="5:6" ht="15.75" customHeight="1" x14ac:dyDescent="0.25">
      <c r="E455" s="12"/>
      <c r="F455" s="13"/>
    </row>
    <row r="456" spans="5:6" ht="15.75" customHeight="1" x14ac:dyDescent="0.25">
      <c r="E456" s="12"/>
      <c r="F456" s="13"/>
    </row>
    <row r="457" spans="5:6" ht="15.75" customHeight="1" x14ac:dyDescent="0.25">
      <c r="E457" s="12"/>
      <c r="F457" s="13"/>
    </row>
    <row r="458" spans="5:6" ht="15.75" customHeight="1" x14ac:dyDescent="0.25">
      <c r="E458" s="12"/>
      <c r="F458" s="13"/>
    </row>
    <row r="459" spans="5:6" ht="15.75" customHeight="1" x14ac:dyDescent="0.25">
      <c r="E459" s="12"/>
      <c r="F459" s="13"/>
    </row>
    <row r="460" spans="5:6" ht="15.75" customHeight="1" x14ac:dyDescent="0.25">
      <c r="E460" s="12"/>
      <c r="F460" s="13"/>
    </row>
    <row r="461" spans="5:6" ht="15.75" customHeight="1" x14ac:dyDescent="0.25">
      <c r="E461" s="12"/>
      <c r="F461" s="13"/>
    </row>
    <row r="462" spans="5:6" ht="15.75" customHeight="1" x14ac:dyDescent="0.25">
      <c r="E462" s="12"/>
      <c r="F462" s="13"/>
    </row>
    <row r="463" spans="5:6" ht="15.75" customHeight="1" x14ac:dyDescent="0.25">
      <c r="E463" s="12"/>
      <c r="F463" s="13"/>
    </row>
    <row r="464" spans="5:6" ht="15.75" customHeight="1" x14ac:dyDescent="0.25">
      <c r="E464" s="12"/>
      <c r="F464" s="13"/>
    </row>
    <row r="465" spans="5:6" ht="15.75" customHeight="1" x14ac:dyDescent="0.25">
      <c r="E465" s="12"/>
      <c r="F465" s="13"/>
    </row>
    <row r="466" spans="5:6" ht="15.75" customHeight="1" x14ac:dyDescent="0.25">
      <c r="E466" s="12"/>
      <c r="F466" s="13"/>
    </row>
    <row r="467" spans="5:6" ht="15.75" customHeight="1" x14ac:dyDescent="0.25">
      <c r="E467" s="12"/>
      <c r="F467" s="13"/>
    </row>
    <row r="468" spans="5:6" ht="15.75" customHeight="1" x14ac:dyDescent="0.25">
      <c r="E468" s="12"/>
      <c r="F468" s="13"/>
    </row>
    <row r="469" spans="5:6" ht="15.75" customHeight="1" x14ac:dyDescent="0.25">
      <c r="E469" s="12"/>
      <c r="F469" s="13"/>
    </row>
    <row r="470" spans="5:6" ht="15.75" customHeight="1" x14ac:dyDescent="0.25">
      <c r="E470" s="12"/>
      <c r="F470" s="13"/>
    </row>
    <row r="471" spans="5:6" ht="15.75" customHeight="1" x14ac:dyDescent="0.25">
      <c r="E471" s="12"/>
      <c r="F471" s="13"/>
    </row>
    <row r="472" spans="5:6" ht="15.75" customHeight="1" x14ac:dyDescent="0.25">
      <c r="E472" s="12"/>
      <c r="F472" s="13"/>
    </row>
    <row r="473" spans="5:6" ht="15.75" customHeight="1" x14ac:dyDescent="0.25">
      <c r="E473" s="12"/>
      <c r="F473" s="13"/>
    </row>
    <row r="474" spans="5:6" ht="15.75" customHeight="1" x14ac:dyDescent="0.25">
      <c r="E474" s="12"/>
      <c r="F474" s="13"/>
    </row>
    <row r="475" spans="5:6" ht="15.75" customHeight="1" x14ac:dyDescent="0.25">
      <c r="E475" s="12"/>
      <c r="F475" s="13"/>
    </row>
    <row r="476" spans="5:6" ht="15.75" customHeight="1" x14ac:dyDescent="0.25">
      <c r="E476" s="12"/>
      <c r="F476" s="13"/>
    </row>
    <row r="477" spans="5:6" ht="15.75" customHeight="1" x14ac:dyDescent="0.25">
      <c r="E477" s="12"/>
      <c r="F477" s="13"/>
    </row>
    <row r="478" spans="5:6" ht="15.75" customHeight="1" x14ac:dyDescent="0.25">
      <c r="E478" s="12"/>
      <c r="F478" s="13"/>
    </row>
    <row r="479" spans="5:6" ht="15.75" customHeight="1" x14ac:dyDescent="0.25">
      <c r="E479" s="12"/>
      <c r="F479" s="13"/>
    </row>
    <row r="480" spans="5:6" ht="15.75" customHeight="1" x14ac:dyDescent="0.25">
      <c r="E480" s="12"/>
      <c r="F480" s="13"/>
    </row>
    <row r="481" spans="5:6" ht="15.75" customHeight="1" x14ac:dyDescent="0.25">
      <c r="E481" s="12"/>
      <c r="F481" s="13"/>
    </row>
    <row r="482" spans="5:6" ht="15.75" customHeight="1" x14ac:dyDescent="0.25">
      <c r="E482" s="12"/>
      <c r="F482" s="13"/>
    </row>
    <row r="483" spans="5:6" ht="15.75" customHeight="1" x14ac:dyDescent="0.25">
      <c r="E483" s="12"/>
      <c r="F483" s="13"/>
    </row>
    <row r="484" spans="5:6" ht="15.75" customHeight="1" x14ac:dyDescent="0.25">
      <c r="E484" s="12"/>
      <c r="F484" s="13"/>
    </row>
    <row r="485" spans="5:6" ht="15.75" customHeight="1" x14ac:dyDescent="0.25">
      <c r="E485" s="12"/>
      <c r="F485" s="13"/>
    </row>
    <row r="486" spans="5:6" ht="15.75" customHeight="1" x14ac:dyDescent="0.25">
      <c r="E486" s="12"/>
      <c r="F486" s="13"/>
    </row>
    <row r="487" spans="5:6" ht="15.75" customHeight="1" x14ac:dyDescent="0.25">
      <c r="E487" s="12"/>
      <c r="F487" s="13"/>
    </row>
    <row r="488" spans="5:6" ht="15.75" customHeight="1" x14ac:dyDescent="0.25">
      <c r="E488" s="12"/>
      <c r="F488" s="13"/>
    </row>
    <row r="489" spans="5:6" ht="15.75" customHeight="1" x14ac:dyDescent="0.25">
      <c r="E489" s="12"/>
      <c r="F489" s="13"/>
    </row>
    <row r="490" spans="5:6" ht="15.75" customHeight="1" x14ac:dyDescent="0.25">
      <c r="E490" s="12"/>
      <c r="F490" s="13"/>
    </row>
    <row r="491" spans="5:6" ht="15.75" customHeight="1" x14ac:dyDescent="0.25">
      <c r="E491" s="12"/>
      <c r="F491" s="13"/>
    </row>
    <row r="492" spans="5:6" ht="15.75" customHeight="1" x14ac:dyDescent="0.25">
      <c r="E492" s="12"/>
      <c r="F492" s="13"/>
    </row>
    <row r="493" spans="5:6" ht="15.75" customHeight="1" x14ac:dyDescent="0.25">
      <c r="E493" s="12"/>
      <c r="F493" s="13"/>
    </row>
    <row r="494" spans="5:6" ht="15.75" customHeight="1" x14ac:dyDescent="0.25">
      <c r="E494" s="12"/>
      <c r="F494" s="13"/>
    </row>
    <row r="495" spans="5:6" ht="15.75" customHeight="1" x14ac:dyDescent="0.25">
      <c r="E495" s="12"/>
      <c r="F495" s="13"/>
    </row>
    <row r="496" spans="5:6" ht="15.75" customHeight="1" x14ac:dyDescent="0.25">
      <c r="E496" s="12"/>
      <c r="F496" s="13"/>
    </row>
    <row r="497" spans="5:6" ht="15.75" customHeight="1" x14ac:dyDescent="0.25">
      <c r="E497" s="12"/>
      <c r="F497" s="13"/>
    </row>
    <row r="498" spans="5:6" ht="15.75" customHeight="1" x14ac:dyDescent="0.25">
      <c r="E498" s="12"/>
      <c r="F498" s="13"/>
    </row>
    <row r="499" spans="5:6" ht="15.75" customHeight="1" x14ac:dyDescent="0.25">
      <c r="E499" s="12"/>
      <c r="F499" s="13"/>
    </row>
    <row r="500" spans="5:6" ht="15.75" customHeight="1" x14ac:dyDescent="0.25">
      <c r="E500" s="12"/>
      <c r="F500" s="13"/>
    </row>
    <row r="501" spans="5:6" ht="15.75" customHeight="1" x14ac:dyDescent="0.25">
      <c r="E501" s="12"/>
      <c r="F501" s="13"/>
    </row>
    <row r="502" spans="5:6" ht="15.75" customHeight="1" x14ac:dyDescent="0.25">
      <c r="E502" s="12"/>
      <c r="F502" s="13"/>
    </row>
    <row r="503" spans="5:6" ht="15.75" customHeight="1" x14ac:dyDescent="0.25">
      <c r="E503" s="12"/>
      <c r="F503" s="13"/>
    </row>
    <row r="504" spans="5:6" ht="15.75" customHeight="1" x14ac:dyDescent="0.25">
      <c r="E504" s="12"/>
      <c r="F504" s="13"/>
    </row>
    <row r="505" spans="5:6" ht="15.75" customHeight="1" x14ac:dyDescent="0.25">
      <c r="E505" s="12"/>
      <c r="F505" s="13"/>
    </row>
    <row r="506" spans="5:6" ht="15.75" customHeight="1" x14ac:dyDescent="0.25">
      <c r="E506" s="12"/>
      <c r="F506" s="13"/>
    </row>
    <row r="507" spans="5:6" ht="15.75" customHeight="1" x14ac:dyDescent="0.25">
      <c r="E507" s="12"/>
      <c r="F507" s="13"/>
    </row>
    <row r="508" spans="5:6" ht="15.75" customHeight="1" x14ac:dyDescent="0.25">
      <c r="E508" s="12"/>
      <c r="F508" s="13"/>
    </row>
    <row r="509" spans="5:6" ht="15.75" customHeight="1" x14ac:dyDescent="0.25">
      <c r="E509" s="12"/>
      <c r="F509" s="13"/>
    </row>
    <row r="510" spans="5:6" ht="15.75" customHeight="1" x14ac:dyDescent="0.25">
      <c r="E510" s="12"/>
      <c r="F510" s="13"/>
    </row>
    <row r="511" spans="5:6" ht="15.75" customHeight="1" x14ac:dyDescent="0.25">
      <c r="E511" s="12"/>
      <c r="F511" s="13"/>
    </row>
    <row r="512" spans="5:6" ht="15.75" customHeight="1" x14ac:dyDescent="0.25">
      <c r="E512" s="12"/>
      <c r="F512" s="13"/>
    </row>
    <row r="513" spans="5:6" ht="15.75" customHeight="1" x14ac:dyDescent="0.25">
      <c r="E513" s="12"/>
      <c r="F513" s="13"/>
    </row>
    <row r="514" spans="5:6" ht="15.75" customHeight="1" x14ac:dyDescent="0.25">
      <c r="E514" s="12"/>
      <c r="F514" s="13"/>
    </row>
    <row r="515" spans="5:6" ht="15.75" customHeight="1" x14ac:dyDescent="0.25">
      <c r="E515" s="12"/>
      <c r="F515" s="13"/>
    </row>
    <row r="516" spans="5:6" ht="15.75" customHeight="1" x14ac:dyDescent="0.25">
      <c r="E516" s="12"/>
      <c r="F516" s="13"/>
    </row>
    <row r="517" spans="5:6" ht="15.75" customHeight="1" x14ac:dyDescent="0.25">
      <c r="E517" s="12"/>
      <c r="F517" s="13"/>
    </row>
    <row r="518" spans="5:6" ht="15.75" customHeight="1" x14ac:dyDescent="0.25">
      <c r="E518" s="12"/>
      <c r="F518" s="13"/>
    </row>
    <row r="519" spans="5:6" ht="15.75" customHeight="1" x14ac:dyDescent="0.25">
      <c r="E519" s="12"/>
      <c r="F519" s="13"/>
    </row>
    <row r="520" spans="5:6" ht="15.75" customHeight="1" x14ac:dyDescent="0.25">
      <c r="E520" s="12"/>
      <c r="F520" s="13"/>
    </row>
    <row r="521" spans="5:6" ht="15.75" customHeight="1" x14ac:dyDescent="0.25">
      <c r="E521" s="12"/>
      <c r="F521" s="13"/>
    </row>
    <row r="522" spans="5:6" ht="15.75" customHeight="1" x14ac:dyDescent="0.25">
      <c r="E522" s="12"/>
      <c r="F522" s="13"/>
    </row>
    <row r="523" spans="5:6" ht="15.75" customHeight="1" x14ac:dyDescent="0.25">
      <c r="E523" s="12"/>
      <c r="F523" s="13"/>
    </row>
    <row r="524" spans="5:6" ht="15.75" customHeight="1" x14ac:dyDescent="0.25">
      <c r="E524" s="12"/>
      <c r="F524" s="13"/>
    </row>
    <row r="525" spans="5:6" ht="15.75" customHeight="1" x14ac:dyDescent="0.25">
      <c r="E525" s="12"/>
      <c r="F525" s="13"/>
    </row>
    <row r="526" spans="5:6" ht="15.75" customHeight="1" x14ac:dyDescent="0.25">
      <c r="E526" s="12"/>
      <c r="F526" s="13"/>
    </row>
    <row r="527" spans="5:6" ht="15.75" customHeight="1" x14ac:dyDescent="0.25">
      <c r="E527" s="12"/>
      <c r="F527" s="13"/>
    </row>
    <row r="528" spans="5:6" ht="15.75" customHeight="1" x14ac:dyDescent="0.25">
      <c r="E528" s="12"/>
      <c r="F528" s="13"/>
    </row>
    <row r="529" spans="5:6" ht="15.75" customHeight="1" x14ac:dyDescent="0.25">
      <c r="E529" s="12"/>
      <c r="F529" s="13"/>
    </row>
    <row r="530" spans="5:6" ht="15.75" customHeight="1" x14ac:dyDescent="0.25">
      <c r="E530" s="12"/>
      <c r="F530" s="13"/>
    </row>
    <row r="531" spans="5:6" ht="15.75" customHeight="1" x14ac:dyDescent="0.25">
      <c r="E531" s="12"/>
      <c r="F531" s="13"/>
    </row>
    <row r="532" spans="5:6" ht="15.75" customHeight="1" x14ac:dyDescent="0.25">
      <c r="E532" s="12"/>
      <c r="F532" s="13"/>
    </row>
    <row r="533" spans="5:6" ht="15.75" customHeight="1" x14ac:dyDescent="0.25">
      <c r="E533" s="12"/>
      <c r="F533" s="13"/>
    </row>
    <row r="534" spans="5:6" ht="15.75" customHeight="1" x14ac:dyDescent="0.25">
      <c r="E534" s="12"/>
      <c r="F534" s="13"/>
    </row>
    <row r="535" spans="5:6" ht="15.75" customHeight="1" x14ac:dyDescent="0.25">
      <c r="E535" s="12"/>
      <c r="F535" s="13"/>
    </row>
    <row r="536" spans="5:6" ht="15.75" customHeight="1" x14ac:dyDescent="0.25">
      <c r="E536" s="12"/>
      <c r="F536" s="13"/>
    </row>
    <row r="537" spans="5:6" ht="15.75" customHeight="1" x14ac:dyDescent="0.25">
      <c r="E537" s="12"/>
      <c r="F537" s="13"/>
    </row>
    <row r="538" spans="5:6" ht="15.75" customHeight="1" x14ac:dyDescent="0.25">
      <c r="E538" s="12"/>
      <c r="F538" s="13"/>
    </row>
    <row r="539" spans="5:6" ht="15.75" customHeight="1" x14ac:dyDescent="0.25">
      <c r="E539" s="12"/>
      <c r="F539" s="13"/>
    </row>
    <row r="540" spans="5:6" ht="15.75" customHeight="1" x14ac:dyDescent="0.25">
      <c r="E540" s="12"/>
      <c r="F540" s="13"/>
    </row>
    <row r="541" spans="5:6" ht="15.75" customHeight="1" x14ac:dyDescent="0.25">
      <c r="E541" s="12"/>
      <c r="F541" s="13"/>
    </row>
    <row r="542" spans="5:6" ht="15.75" customHeight="1" x14ac:dyDescent="0.25">
      <c r="E542" s="12"/>
      <c r="F542" s="13"/>
    </row>
    <row r="543" spans="5:6" ht="15.75" customHeight="1" x14ac:dyDescent="0.25">
      <c r="E543" s="12"/>
      <c r="F543" s="13"/>
    </row>
    <row r="544" spans="5:6" ht="15.75" customHeight="1" x14ac:dyDescent="0.25">
      <c r="E544" s="12"/>
      <c r="F544" s="13"/>
    </row>
    <row r="545" spans="5:6" ht="15.75" customHeight="1" x14ac:dyDescent="0.25">
      <c r="E545" s="12"/>
      <c r="F545" s="13"/>
    </row>
    <row r="546" spans="5:6" ht="15.75" customHeight="1" x14ac:dyDescent="0.25">
      <c r="E546" s="12"/>
      <c r="F546" s="13"/>
    </row>
    <row r="547" spans="5:6" ht="15.75" customHeight="1" x14ac:dyDescent="0.25">
      <c r="E547" s="12"/>
      <c r="F547" s="13"/>
    </row>
    <row r="548" spans="5:6" ht="15.75" customHeight="1" x14ac:dyDescent="0.25">
      <c r="E548" s="12"/>
      <c r="F548" s="13"/>
    </row>
    <row r="549" spans="5:6" ht="15.75" customHeight="1" x14ac:dyDescent="0.25">
      <c r="E549" s="12"/>
      <c r="F549" s="13"/>
    </row>
    <row r="550" spans="5:6" ht="15.75" customHeight="1" x14ac:dyDescent="0.25">
      <c r="E550" s="12"/>
      <c r="F550" s="13"/>
    </row>
    <row r="551" spans="5:6" ht="15.75" customHeight="1" x14ac:dyDescent="0.25">
      <c r="E551" s="12"/>
      <c r="F551" s="13"/>
    </row>
    <row r="552" spans="5:6" ht="15.75" customHeight="1" x14ac:dyDescent="0.25">
      <c r="E552" s="12"/>
      <c r="F552" s="13"/>
    </row>
    <row r="553" spans="5:6" ht="15.75" customHeight="1" x14ac:dyDescent="0.25">
      <c r="E553" s="12"/>
      <c r="F553" s="13"/>
    </row>
    <row r="554" spans="5:6" ht="15.75" customHeight="1" x14ac:dyDescent="0.25">
      <c r="E554" s="12"/>
      <c r="F554" s="13"/>
    </row>
    <row r="555" spans="5:6" ht="15.75" customHeight="1" x14ac:dyDescent="0.25">
      <c r="E555" s="12"/>
      <c r="F555" s="13"/>
    </row>
    <row r="556" spans="5:6" ht="15.75" customHeight="1" x14ac:dyDescent="0.25">
      <c r="E556" s="12"/>
      <c r="F556" s="13"/>
    </row>
    <row r="557" spans="5:6" ht="15.75" customHeight="1" x14ac:dyDescent="0.25">
      <c r="E557" s="12"/>
      <c r="F557" s="13"/>
    </row>
    <row r="558" spans="5:6" ht="15.75" customHeight="1" x14ac:dyDescent="0.25">
      <c r="E558" s="12"/>
      <c r="F558" s="13"/>
    </row>
    <row r="559" spans="5:6" ht="15.75" customHeight="1" x14ac:dyDescent="0.25">
      <c r="E559" s="12"/>
      <c r="F559" s="13"/>
    </row>
    <row r="560" spans="5:6" ht="15.75" customHeight="1" x14ac:dyDescent="0.25">
      <c r="E560" s="12"/>
      <c r="F560" s="13"/>
    </row>
    <row r="561" spans="5:6" ht="15.75" customHeight="1" x14ac:dyDescent="0.25">
      <c r="E561" s="12"/>
      <c r="F561" s="13"/>
    </row>
    <row r="562" spans="5:6" ht="15.75" customHeight="1" x14ac:dyDescent="0.25">
      <c r="E562" s="12"/>
      <c r="F562" s="13"/>
    </row>
    <row r="563" spans="5:6" ht="15.75" customHeight="1" x14ac:dyDescent="0.25">
      <c r="E563" s="12"/>
      <c r="F563" s="13"/>
    </row>
    <row r="564" spans="5:6" ht="15.75" customHeight="1" x14ac:dyDescent="0.25">
      <c r="E564" s="12"/>
      <c r="F564" s="13"/>
    </row>
    <row r="565" spans="5:6" ht="15.75" customHeight="1" x14ac:dyDescent="0.25">
      <c r="E565" s="12"/>
      <c r="F565" s="13"/>
    </row>
    <row r="566" spans="5:6" ht="15.75" customHeight="1" x14ac:dyDescent="0.25">
      <c r="E566" s="12"/>
      <c r="F566" s="13"/>
    </row>
    <row r="567" spans="5:6" ht="15.75" customHeight="1" x14ac:dyDescent="0.25">
      <c r="E567" s="12"/>
      <c r="F567" s="13"/>
    </row>
    <row r="568" spans="5:6" ht="15.75" customHeight="1" x14ac:dyDescent="0.25">
      <c r="E568" s="12"/>
      <c r="F568" s="13"/>
    </row>
    <row r="569" spans="5:6" ht="15.75" customHeight="1" x14ac:dyDescent="0.25">
      <c r="E569" s="12"/>
      <c r="F569" s="13"/>
    </row>
    <row r="570" spans="5:6" ht="15.75" customHeight="1" x14ac:dyDescent="0.25">
      <c r="E570" s="12"/>
      <c r="F570" s="13"/>
    </row>
    <row r="571" spans="5:6" ht="15.75" customHeight="1" x14ac:dyDescent="0.25">
      <c r="E571" s="12"/>
      <c r="F571" s="13"/>
    </row>
    <row r="572" spans="5:6" ht="15.75" customHeight="1" x14ac:dyDescent="0.25">
      <c r="E572" s="12"/>
      <c r="F572" s="13"/>
    </row>
    <row r="573" spans="5:6" ht="15.75" customHeight="1" x14ac:dyDescent="0.25">
      <c r="E573" s="12"/>
      <c r="F573" s="13"/>
    </row>
    <row r="574" spans="5:6" ht="15.75" customHeight="1" x14ac:dyDescent="0.25">
      <c r="E574" s="12"/>
      <c r="F574" s="13"/>
    </row>
    <row r="575" spans="5:6" ht="15.75" customHeight="1" x14ac:dyDescent="0.25">
      <c r="E575" s="12"/>
      <c r="F575" s="13"/>
    </row>
    <row r="576" spans="5:6" ht="15.75" customHeight="1" x14ac:dyDescent="0.25">
      <c r="E576" s="12"/>
      <c r="F576" s="13"/>
    </row>
    <row r="577" spans="5:6" ht="15.75" customHeight="1" x14ac:dyDescent="0.25">
      <c r="E577" s="12"/>
      <c r="F577" s="13"/>
    </row>
    <row r="578" spans="5:6" ht="15.75" customHeight="1" x14ac:dyDescent="0.25">
      <c r="E578" s="12"/>
      <c r="F578" s="13"/>
    </row>
    <row r="579" spans="5:6" ht="15.75" customHeight="1" x14ac:dyDescent="0.25">
      <c r="E579" s="12"/>
      <c r="F579" s="13"/>
    </row>
    <row r="580" spans="5:6" ht="15.75" customHeight="1" x14ac:dyDescent="0.25">
      <c r="E580" s="12"/>
      <c r="F580" s="13"/>
    </row>
    <row r="581" spans="5:6" ht="15.75" customHeight="1" x14ac:dyDescent="0.25">
      <c r="E581" s="12"/>
      <c r="F581" s="13"/>
    </row>
    <row r="582" spans="5:6" ht="15.75" customHeight="1" x14ac:dyDescent="0.25">
      <c r="E582" s="12"/>
      <c r="F582" s="13"/>
    </row>
    <row r="583" spans="5:6" ht="15.75" customHeight="1" x14ac:dyDescent="0.25">
      <c r="E583" s="12"/>
      <c r="F583" s="13"/>
    </row>
    <row r="584" spans="5:6" ht="15.75" customHeight="1" x14ac:dyDescent="0.25">
      <c r="E584" s="12"/>
      <c r="F584" s="13"/>
    </row>
    <row r="585" spans="5:6" ht="15.75" customHeight="1" x14ac:dyDescent="0.25">
      <c r="E585" s="12"/>
      <c r="F585" s="13"/>
    </row>
    <row r="586" spans="5:6" ht="15.75" customHeight="1" x14ac:dyDescent="0.25">
      <c r="E586" s="12"/>
      <c r="F586" s="13"/>
    </row>
    <row r="587" spans="5:6" ht="15.75" customHeight="1" x14ac:dyDescent="0.25">
      <c r="E587" s="12"/>
      <c r="F587" s="13"/>
    </row>
    <row r="588" spans="5:6" ht="15.75" customHeight="1" x14ac:dyDescent="0.25">
      <c r="E588" s="12"/>
      <c r="F588" s="13"/>
    </row>
    <row r="589" spans="5:6" ht="15.75" customHeight="1" x14ac:dyDescent="0.25">
      <c r="E589" s="12"/>
      <c r="F589" s="13"/>
    </row>
    <row r="590" spans="5:6" ht="15.75" customHeight="1" x14ac:dyDescent="0.25">
      <c r="E590" s="12"/>
      <c r="F590" s="13"/>
    </row>
    <row r="591" spans="5:6" ht="15.75" customHeight="1" x14ac:dyDescent="0.25">
      <c r="E591" s="12"/>
      <c r="F591" s="13"/>
    </row>
    <row r="592" spans="5:6" ht="15.75" customHeight="1" x14ac:dyDescent="0.25">
      <c r="E592" s="12"/>
      <c r="F592" s="13"/>
    </row>
    <row r="593" spans="5:6" ht="15.75" customHeight="1" x14ac:dyDescent="0.25">
      <c r="E593" s="12"/>
      <c r="F593" s="13"/>
    </row>
    <row r="594" spans="5:6" ht="15.75" customHeight="1" x14ac:dyDescent="0.25">
      <c r="E594" s="12"/>
      <c r="F594" s="13"/>
    </row>
    <row r="595" spans="5:6" ht="15.75" customHeight="1" x14ac:dyDescent="0.25">
      <c r="E595" s="12"/>
      <c r="F595" s="13"/>
    </row>
    <row r="596" spans="5:6" ht="15.75" customHeight="1" x14ac:dyDescent="0.25">
      <c r="E596" s="12"/>
      <c r="F596" s="13"/>
    </row>
    <row r="597" spans="5:6" ht="15.75" customHeight="1" x14ac:dyDescent="0.25">
      <c r="E597" s="12"/>
      <c r="F597" s="13"/>
    </row>
    <row r="598" spans="5:6" ht="15.75" customHeight="1" x14ac:dyDescent="0.25">
      <c r="E598" s="12"/>
      <c r="F598" s="13"/>
    </row>
    <row r="599" spans="5:6" ht="15.75" customHeight="1" x14ac:dyDescent="0.25">
      <c r="E599" s="12"/>
      <c r="F599" s="13"/>
    </row>
    <row r="600" spans="5:6" ht="15.75" customHeight="1" x14ac:dyDescent="0.25">
      <c r="E600" s="12"/>
      <c r="F600" s="13"/>
    </row>
    <row r="601" spans="5:6" ht="15.75" customHeight="1" x14ac:dyDescent="0.25">
      <c r="E601" s="12"/>
      <c r="F601" s="13"/>
    </row>
    <row r="602" spans="5:6" ht="15.75" customHeight="1" x14ac:dyDescent="0.25">
      <c r="E602" s="12"/>
      <c r="F602" s="13"/>
    </row>
    <row r="603" spans="5:6" ht="15.75" customHeight="1" x14ac:dyDescent="0.25">
      <c r="E603" s="12"/>
      <c r="F603" s="13"/>
    </row>
    <row r="604" spans="5:6" ht="15.75" customHeight="1" x14ac:dyDescent="0.25">
      <c r="E604" s="12"/>
      <c r="F604" s="13"/>
    </row>
    <row r="605" spans="5:6" ht="15.75" customHeight="1" x14ac:dyDescent="0.25">
      <c r="E605" s="12"/>
      <c r="F605" s="13"/>
    </row>
    <row r="606" spans="5:6" ht="15.75" customHeight="1" x14ac:dyDescent="0.25">
      <c r="E606" s="12"/>
      <c r="F606" s="13"/>
    </row>
    <row r="607" spans="5:6" ht="15.75" customHeight="1" x14ac:dyDescent="0.25">
      <c r="E607" s="12"/>
      <c r="F607" s="13"/>
    </row>
    <row r="608" spans="5:6" ht="15.75" customHeight="1" x14ac:dyDescent="0.25">
      <c r="E608" s="12"/>
      <c r="F608" s="13"/>
    </row>
    <row r="609" spans="5:6" ht="15.75" customHeight="1" x14ac:dyDescent="0.25">
      <c r="E609" s="12"/>
      <c r="F609" s="13"/>
    </row>
    <row r="610" spans="5:6" ht="15.75" customHeight="1" x14ac:dyDescent="0.25">
      <c r="E610" s="12"/>
      <c r="F610" s="13"/>
    </row>
    <row r="611" spans="5:6" ht="15.75" customHeight="1" x14ac:dyDescent="0.25">
      <c r="E611" s="12"/>
      <c r="F611" s="13"/>
    </row>
    <row r="612" spans="5:6" ht="15.75" customHeight="1" x14ac:dyDescent="0.25">
      <c r="E612" s="12"/>
      <c r="F612" s="13"/>
    </row>
    <row r="613" spans="5:6" ht="15.75" customHeight="1" x14ac:dyDescent="0.25">
      <c r="E613" s="12"/>
      <c r="F613" s="13"/>
    </row>
    <row r="614" spans="5:6" ht="15.75" customHeight="1" x14ac:dyDescent="0.25">
      <c r="E614" s="12"/>
      <c r="F614" s="13"/>
    </row>
    <row r="615" spans="5:6" ht="15.75" customHeight="1" x14ac:dyDescent="0.25">
      <c r="E615" s="12"/>
      <c r="F615" s="13"/>
    </row>
    <row r="616" spans="5:6" ht="15.75" customHeight="1" x14ac:dyDescent="0.25">
      <c r="E616" s="12"/>
      <c r="F616" s="13"/>
    </row>
    <row r="617" spans="5:6" ht="15.75" customHeight="1" x14ac:dyDescent="0.25">
      <c r="E617" s="12"/>
      <c r="F617" s="13"/>
    </row>
    <row r="618" spans="5:6" ht="15.75" customHeight="1" x14ac:dyDescent="0.25">
      <c r="E618" s="12"/>
      <c r="F618" s="13"/>
    </row>
    <row r="619" spans="5:6" ht="15.75" customHeight="1" x14ac:dyDescent="0.25">
      <c r="E619" s="12"/>
      <c r="F619" s="13"/>
    </row>
    <row r="620" spans="5:6" ht="15.75" customHeight="1" x14ac:dyDescent="0.25">
      <c r="E620" s="12"/>
      <c r="F620" s="13"/>
    </row>
    <row r="621" spans="5:6" ht="15.75" customHeight="1" x14ac:dyDescent="0.25">
      <c r="E621" s="12"/>
      <c r="F621" s="13"/>
    </row>
    <row r="622" spans="5:6" ht="15.75" customHeight="1" x14ac:dyDescent="0.25">
      <c r="E622" s="12"/>
      <c r="F622" s="13"/>
    </row>
    <row r="623" spans="5:6" ht="15.75" customHeight="1" x14ac:dyDescent="0.25">
      <c r="E623" s="12"/>
      <c r="F623" s="13"/>
    </row>
    <row r="624" spans="5:6" ht="15.75" customHeight="1" x14ac:dyDescent="0.25">
      <c r="E624" s="12"/>
      <c r="F624" s="13"/>
    </row>
    <row r="625" spans="5:6" ht="15.75" customHeight="1" x14ac:dyDescent="0.25">
      <c r="E625" s="12"/>
      <c r="F625" s="13"/>
    </row>
    <row r="626" spans="5:6" ht="15.75" customHeight="1" x14ac:dyDescent="0.25">
      <c r="E626" s="12"/>
      <c r="F626" s="13"/>
    </row>
    <row r="627" spans="5:6" ht="15.75" customHeight="1" x14ac:dyDescent="0.25">
      <c r="E627" s="12"/>
      <c r="F627" s="13"/>
    </row>
    <row r="628" spans="5:6" ht="15.75" customHeight="1" x14ac:dyDescent="0.25">
      <c r="E628" s="12"/>
      <c r="F628" s="13"/>
    </row>
    <row r="629" spans="5:6" ht="15.75" customHeight="1" x14ac:dyDescent="0.25">
      <c r="E629" s="12"/>
      <c r="F629" s="13"/>
    </row>
    <row r="630" spans="5:6" ht="15.75" customHeight="1" x14ac:dyDescent="0.25">
      <c r="E630" s="12"/>
      <c r="F630" s="13"/>
    </row>
    <row r="631" spans="5:6" ht="15.75" customHeight="1" x14ac:dyDescent="0.25">
      <c r="E631" s="12"/>
      <c r="F631" s="13"/>
    </row>
    <row r="632" spans="5:6" ht="15.75" customHeight="1" x14ac:dyDescent="0.25">
      <c r="E632" s="12"/>
      <c r="F632" s="13"/>
    </row>
    <row r="633" spans="5:6" ht="15.75" customHeight="1" x14ac:dyDescent="0.25">
      <c r="E633" s="12"/>
      <c r="F633" s="13"/>
    </row>
    <row r="634" spans="5:6" ht="15.75" customHeight="1" x14ac:dyDescent="0.25">
      <c r="E634" s="12"/>
      <c r="F634" s="13"/>
    </row>
    <row r="635" spans="5:6" ht="15.75" customHeight="1" x14ac:dyDescent="0.25">
      <c r="E635" s="12"/>
      <c r="F635" s="13"/>
    </row>
    <row r="636" spans="5:6" ht="15.75" customHeight="1" x14ac:dyDescent="0.25">
      <c r="E636" s="12"/>
      <c r="F636" s="13"/>
    </row>
    <row r="637" spans="5:6" ht="15.75" customHeight="1" x14ac:dyDescent="0.25">
      <c r="E637" s="12"/>
      <c r="F637" s="13"/>
    </row>
    <row r="638" spans="5:6" ht="15.75" customHeight="1" x14ac:dyDescent="0.25">
      <c r="E638" s="12"/>
      <c r="F638" s="13"/>
    </row>
    <row r="639" spans="5:6" ht="15.75" customHeight="1" x14ac:dyDescent="0.25">
      <c r="E639" s="12"/>
      <c r="F639" s="13"/>
    </row>
    <row r="640" spans="5:6" ht="15.75" customHeight="1" x14ac:dyDescent="0.25">
      <c r="E640" s="12"/>
      <c r="F640" s="13"/>
    </row>
    <row r="641" spans="5:6" ht="15.75" customHeight="1" x14ac:dyDescent="0.25">
      <c r="E641" s="12"/>
      <c r="F641" s="13"/>
    </row>
    <row r="642" spans="5:6" ht="15.75" customHeight="1" x14ac:dyDescent="0.25">
      <c r="E642" s="12"/>
      <c r="F642" s="13"/>
    </row>
    <row r="643" spans="5:6" ht="15.75" customHeight="1" x14ac:dyDescent="0.25">
      <c r="E643" s="12"/>
      <c r="F643" s="13"/>
    </row>
    <row r="644" spans="5:6" ht="15.75" customHeight="1" x14ac:dyDescent="0.25">
      <c r="E644" s="12"/>
      <c r="F644" s="13"/>
    </row>
    <row r="645" spans="5:6" ht="15.75" customHeight="1" x14ac:dyDescent="0.25">
      <c r="E645" s="12"/>
      <c r="F645" s="13"/>
    </row>
    <row r="646" spans="5:6" ht="15.75" customHeight="1" x14ac:dyDescent="0.25">
      <c r="E646" s="12"/>
      <c r="F646" s="13"/>
    </row>
    <row r="647" spans="5:6" ht="15.75" customHeight="1" x14ac:dyDescent="0.25">
      <c r="E647" s="12"/>
      <c r="F647" s="13"/>
    </row>
    <row r="648" spans="5:6" ht="15.75" customHeight="1" x14ac:dyDescent="0.25">
      <c r="E648" s="12"/>
      <c r="F648" s="13"/>
    </row>
    <row r="649" spans="5:6" ht="15.75" customHeight="1" x14ac:dyDescent="0.25">
      <c r="E649" s="12"/>
      <c r="F649" s="13"/>
    </row>
    <row r="650" spans="5:6" ht="15.75" customHeight="1" x14ac:dyDescent="0.25">
      <c r="E650" s="12"/>
      <c r="F650" s="13"/>
    </row>
    <row r="651" spans="5:6" ht="15.75" customHeight="1" x14ac:dyDescent="0.25">
      <c r="E651" s="12"/>
      <c r="F651" s="13"/>
    </row>
    <row r="652" spans="5:6" ht="15.75" customHeight="1" x14ac:dyDescent="0.25">
      <c r="E652" s="12"/>
      <c r="F652" s="13"/>
    </row>
    <row r="653" spans="5:6" ht="15.75" customHeight="1" x14ac:dyDescent="0.25">
      <c r="E653" s="12"/>
      <c r="F653" s="13"/>
    </row>
    <row r="654" spans="5:6" ht="15.75" customHeight="1" x14ac:dyDescent="0.25">
      <c r="E654" s="12"/>
      <c r="F654" s="13"/>
    </row>
    <row r="655" spans="5:6" ht="15.75" customHeight="1" x14ac:dyDescent="0.25">
      <c r="E655" s="12"/>
      <c r="F655" s="13"/>
    </row>
    <row r="656" spans="5:6" ht="15.75" customHeight="1" x14ac:dyDescent="0.25">
      <c r="E656" s="12"/>
      <c r="F656" s="13"/>
    </row>
    <row r="657" spans="5:6" ht="15.75" customHeight="1" x14ac:dyDescent="0.25">
      <c r="E657" s="12"/>
      <c r="F657" s="13"/>
    </row>
    <row r="658" spans="5:6" ht="15.75" customHeight="1" x14ac:dyDescent="0.25">
      <c r="E658" s="12"/>
      <c r="F658" s="13"/>
    </row>
    <row r="659" spans="5:6" ht="15.75" customHeight="1" x14ac:dyDescent="0.25">
      <c r="E659" s="12"/>
      <c r="F659" s="13"/>
    </row>
    <row r="660" spans="5:6" ht="15.75" customHeight="1" x14ac:dyDescent="0.25">
      <c r="E660" s="12"/>
      <c r="F660" s="13"/>
    </row>
    <row r="661" spans="5:6" ht="15.75" customHeight="1" x14ac:dyDescent="0.25">
      <c r="E661" s="12"/>
      <c r="F661" s="13"/>
    </row>
    <row r="662" spans="5:6" ht="15.75" customHeight="1" x14ac:dyDescent="0.25">
      <c r="E662" s="12"/>
      <c r="F662" s="13"/>
    </row>
    <row r="663" spans="5:6" ht="15.75" customHeight="1" x14ac:dyDescent="0.25">
      <c r="E663" s="12"/>
      <c r="F663" s="13"/>
    </row>
    <row r="664" spans="5:6" ht="15.75" customHeight="1" x14ac:dyDescent="0.25">
      <c r="E664" s="12"/>
      <c r="F664" s="13"/>
    </row>
    <row r="665" spans="5:6" ht="15.75" customHeight="1" x14ac:dyDescent="0.25">
      <c r="E665" s="12"/>
      <c r="F665" s="13"/>
    </row>
    <row r="666" spans="5:6" ht="15.75" customHeight="1" x14ac:dyDescent="0.25">
      <c r="E666" s="12"/>
      <c r="F666" s="13"/>
    </row>
    <row r="667" spans="5:6" ht="15.75" customHeight="1" x14ac:dyDescent="0.25">
      <c r="E667" s="12"/>
      <c r="F667" s="13"/>
    </row>
    <row r="668" spans="5:6" ht="15.75" customHeight="1" x14ac:dyDescent="0.25">
      <c r="E668" s="12"/>
      <c r="F668" s="13"/>
    </row>
    <row r="669" spans="5:6" ht="15.75" customHeight="1" x14ac:dyDescent="0.25">
      <c r="E669" s="12"/>
      <c r="F669" s="13"/>
    </row>
    <row r="670" spans="5:6" ht="15.75" customHeight="1" x14ac:dyDescent="0.25">
      <c r="E670" s="12"/>
      <c r="F670" s="13"/>
    </row>
    <row r="671" spans="5:6" ht="15.75" customHeight="1" x14ac:dyDescent="0.25">
      <c r="E671" s="12"/>
      <c r="F671" s="13"/>
    </row>
    <row r="672" spans="5:6" ht="15.75" customHeight="1" x14ac:dyDescent="0.25">
      <c r="E672" s="12"/>
      <c r="F672" s="13"/>
    </row>
    <row r="673" spans="5:6" ht="15.75" customHeight="1" x14ac:dyDescent="0.25">
      <c r="E673" s="12"/>
      <c r="F673" s="13"/>
    </row>
    <row r="674" spans="5:6" ht="15.75" customHeight="1" x14ac:dyDescent="0.25">
      <c r="E674" s="12"/>
      <c r="F674" s="13"/>
    </row>
    <row r="675" spans="5:6" ht="15.75" customHeight="1" x14ac:dyDescent="0.25">
      <c r="E675" s="12"/>
      <c r="F675" s="13"/>
    </row>
    <row r="676" spans="5:6" ht="15.75" customHeight="1" x14ac:dyDescent="0.25">
      <c r="E676" s="12"/>
      <c r="F676" s="13"/>
    </row>
    <row r="677" spans="5:6" ht="15.75" customHeight="1" x14ac:dyDescent="0.25">
      <c r="E677" s="12"/>
      <c r="F677" s="13"/>
    </row>
    <row r="678" spans="5:6" ht="15.75" customHeight="1" x14ac:dyDescent="0.25">
      <c r="E678" s="12"/>
      <c r="F678" s="13"/>
    </row>
    <row r="679" spans="5:6" ht="15.75" customHeight="1" x14ac:dyDescent="0.25">
      <c r="E679" s="12"/>
      <c r="F679" s="13"/>
    </row>
    <row r="680" spans="5:6" ht="15.75" customHeight="1" x14ac:dyDescent="0.25">
      <c r="E680" s="12"/>
      <c r="F680" s="13"/>
    </row>
    <row r="681" spans="5:6" ht="15.75" customHeight="1" x14ac:dyDescent="0.25">
      <c r="E681" s="12"/>
      <c r="F681" s="13"/>
    </row>
    <row r="682" spans="5:6" ht="15.75" customHeight="1" x14ac:dyDescent="0.25">
      <c r="E682" s="12"/>
      <c r="F682" s="13"/>
    </row>
    <row r="683" spans="5:6" ht="15.75" customHeight="1" x14ac:dyDescent="0.25">
      <c r="E683" s="12"/>
      <c r="F683" s="13"/>
    </row>
    <row r="684" spans="5:6" ht="15.75" customHeight="1" x14ac:dyDescent="0.25">
      <c r="E684" s="12"/>
      <c r="F684" s="13"/>
    </row>
    <row r="685" spans="5:6" ht="15.75" customHeight="1" x14ac:dyDescent="0.25">
      <c r="E685" s="12"/>
      <c r="F685" s="13"/>
    </row>
    <row r="686" spans="5:6" ht="15.75" customHeight="1" x14ac:dyDescent="0.25">
      <c r="E686" s="12"/>
      <c r="F686" s="13"/>
    </row>
    <row r="687" spans="5:6" ht="15.75" customHeight="1" x14ac:dyDescent="0.25">
      <c r="E687" s="12"/>
      <c r="F687" s="13"/>
    </row>
    <row r="688" spans="5:6" ht="15.75" customHeight="1" x14ac:dyDescent="0.25">
      <c r="E688" s="12"/>
      <c r="F688" s="13"/>
    </row>
    <row r="689" spans="5:6" ht="15.75" customHeight="1" x14ac:dyDescent="0.25">
      <c r="E689" s="12"/>
      <c r="F689" s="13"/>
    </row>
    <row r="690" spans="5:6" ht="15.75" customHeight="1" x14ac:dyDescent="0.25">
      <c r="E690" s="12"/>
      <c r="F690" s="13"/>
    </row>
    <row r="691" spans="5:6" ht="15.75" customHeight="1" x14ac:dyDescent="0.25">
      <c r="E691" s="12"/>
      <c r="F691" s="13"/>
    </row>
    <row r="692" spans="5:6" ht="15.75" customHeight="1" x14ac:dyDescent="0.25">
      <c r="E692" s="12"/>
      <c r="F692" s="13"/>
    </row>
    <row r="693" spans="5:6" ht="15.75" customHeight="1" x14ac:dyDescent="0.25">
      <c r="E693" s="12"/>
      <c r="F693" s="13"/>
    </row>
    <row r="694" spans="5:6" ht="15.75" customHeight="1" x14ac:dyDescent="0.25">
      <c r="E694" s="12"/>
      <c r="F694" s="13"/>
    </row>
    <row r="695" spans="5:6" ht="15.75" customHeight="1" x14ac:dyDescent="0.25">
      <c r="E695" s="12"/>
      <c r="F695" s="13"/>
    </row>
    <row r="696" spans="5:6" ht="15.75" customHeight="1" x14ac:dyDescent="0.25">
      <c r="E696" s="12"/>
      <c r="F696" s="13"/>
    </row>
    <row r="697" spans="5:6" ht="15.75" customHeight="1" x14ac:dyDescent="0.25">
      <c r="E697" s="12"/>
      <c r="F697" s="13"/>
    </row>
    <row r="698" spans="5:6" ht="15.75" customHeight="1" x14ac:dyDescent="0.25">
      <c r="E698" s="12"/>
      <c r="F698" s="13"/>
    </row>
    <row r="699" spans="5:6" ht="15.75" customHeight="1" x14ac:dyDescent="0.25">
      <c r="E699" s="12"/>
      <c r="F699" s="13"/>
    </row>
    <row r="700" spans="5:6" ht="15.75" customHeight="1" x14ac:dyDescent="0.25">
      <c r="E700" s="12"/>
      <c r="F700" s="13"/>
    </row>
    <row r="701" spans="5:6" ht="15.75" customHeight="1" x14ac:dyDescent="0.25">
      <c r="E701" s="12"/>
      <c r="F701" s="13"/>
    </row>
    <row r="702" spans="5:6" ht="15.75" customHeight="1" x14ac:dyDescent="0.25">
      <c r="E702" s="12"/>
      <c r="F702" s="13"/>
    </row>
    <row r="703" spans="5:6" ht="15.75" customHeight="1" x14ac:dyDescent="0.25">
      <c r="E703" s="12"/>
      <c r="F703" s="13"/>
    </row>
    <row r="704" spans="5:6" ht="15.75" customHeight="1" x14ac:dyDescent="0.25">
      <c r="E704" s="12"/>
      <c r="F704" s="13"/>
    </row>
    <row r="705" spans="5:6" ht="15.75" customHeight="1" x14ac:dyDescent="0.25">
      <c r="E705" s="12"/>
      <c r="F705" s="13"/>
    </row>
    <row r="706" spans="5:6" ht="15.75" customHeight="1" x14ac:dyDescent="0.25">
      <c r="E706" s="12"/>
      <c r="F706" s="13"/>
    </row>
    <row r="707" spans="5:6" ht="15.75" customHeight="1" x14ac:dyDescent="0.25">
      <c r="E707" s="12"/>
      <c r="F707" s="13"/>
    </row>
    <row r="708" spans="5:6" ht="15.75" customHeight="1" x14ac:dyDescent="0.25">
      <c r="E708" s="12"/>
      <c r="F708" s="13"/>
    </row>
    <row r="709" spans="5:6" ht="15.75" customHeight="1" x14ac:dyDescent="0.25">
      <c r="E709" s="12"/>
      <c r="F709" s="13"/>
    </row>
    <row r="710" spans="5:6" ht="15.75" customHeight="1" x14ac:dyDescent="0.25">
      <c r="E710" s="12"/>
      <c r="F710" s="13"/>
    </row>
    <row r="711" spans="5:6" ht="15.75" customHeight="1" x14ac:dyDescent="0.25">
      <c r="E711" s="12"/>
      <c r="F711" s="13"/>
    </row>
    <row r="712" spans="5:6" ht="15.75" customHeight="1" x14ac:dyDescent="0.25">
      <c r="E712" s="12"/>
      <c r="F712" s="13"/>
    </row>
    <row r="713" spans="5:6" ht="15.75" customHeight="1" x14ac:dyDescent="0.25">
      <c r="E713" s="12"/>
      <c r="F713" s="13"/>
    </row>
    <row r="714" spans="5:6" ht="15.75" customHeight="1" x14ac:dyDescent="0.25">
      <c r="E714" s="12"/>
      <c r="F714" s="13"/>
    </row>
    <row r="715" spans="5:6" ht="15.75" customHeight="1" x14ac:dyDescent="0.25">
      <c r="E715" s="12"/>
      <c r="F715" s="13"/>
    </row>
    <row r="716" spans="5:6" ht="15.75" customHeight="1" x14ac:dyDescent="0.25">
      <c r="E716" s="12"/>
      <c r="F716" s="13"/>
    </row>
    <row r="717" spans="5:6" ht="15.75" customHeight="1" x14ac:dyDescent="0.25">
      <c r="E717" s="12"/>
      <c r="F717" s="13"/>
    </row>
    <row r="718" spans="5:6" ht="15.75" customHeight="1" x14ac:dyDescent="0.25">
      <c r="E718" s="12"/>
      <c r="F718" s="13"/>
    </row>
    <row r="719" spans="5:6" ht="15.75" customHeight="1" x14ac:dyDescent="0.25">
      <c r="E719" s="12"/>
      <c r="F719" s="13"/>
    </row>
    <row r="720" spans="5:6" ht="15.75" customHeight="1" x14ac:dyDescent="0.25">
      <c r="E720" s="12"/>
      <c r="F720" s="13"/>
    </row>
    <row r="721" spans="5:6" ht="15.75" customHeight="1" x14ac:dyDescent="0.25">
      <c r="E721" s="12"/>
      <c r="F721" s="13"/>
    </row>
    <row r="722" spans="5:6" ht="15.75" customHeight="1" x14ac:dyDescent="0.25">
      <c r="E722" s="12"/>
      <c r="F722" s="13"/>
    </row>
    <row r="723" spans="5:6" ht="15.75" customHeight="1" x14ac:dyDescent="0.25">
      <c r="E723" s="12"/>
      <c r="F723" s="13"/>
    </row>
    <row r="724" spans="5:6" ht="15.75" customHeight="1" x14ac:dyDescent="0.25">
      <c r="E724" s="12"/>
      <c r="F724" s="13"/>
    </row>
    <row r="725" spans="5:6" ht="15.75" customHeight="1" x14ac:dyDescent="0.25">
      <c r="E725" s="12"/>
      <c r="F725" s="13"/>
    </row>
    <row r="726" spans="5:6" ht="15.75" customHeight="1" x14ac:dyDescent="0.25">
      <c r="E726" s="12"/>
      <c r="F726" s="13"/>
    </row>
    <row r="727" spans="5:6" ht="15.75" customHeight="1" x14ac:dyDescent="0.25">
      <c r="E727" s="12"/>
      <c r="F727" s="13"/>
    </row>
    <row r="728" spans="5:6" ht="15.75" customHeight="1" x14ac:dyDescent="0.25">
      <c r="E728" s="12"/>
      <c r="F728" s="13"/>
    </row>
    <row r="729" spans="5:6" ht="15.75" customHeight="1" x14ac:dyDescent="0.25">
      <c r="E729" s="12"/>
      <c r="F729" s="13"/>
    </row>
    <row r="730" spans="5:6" ht="15.75" customHeight="1" x14ac:dyDescent="0.25">
      <c r="E730" s="12"/>
      <c r="F730" s="13"/>
    </row>
    <row r="731" spans="5:6" ht="15.75" customHeight="1" x14ac:dyDescent="0.25">
      <c r="E731" s="12"/>
      <c r="F731" s="13"/>
    </row>
    <row r="732" spans="5:6" ht="15.75" customHeight="1" x14ac:dyDescent="0.25">
      <c r="E732" s="12"/>
      <c r="F732" s="13"/>
    </row>
    <row r="733" spans="5:6" ht="15.75" customHeight="1" x14ac:dyDescent="0.25">
      <c r="E733" s="12"/>
      <c r="F733" s="13"/>
    </row>
    <row r="734" spans="5:6" ht="15.75" customHeight="1" x14ac:dyDescent="0.25">
      <c r="E734" s="12"/>
      <c r="F734" s="13"/>
    </row>
    <row r="735" spans="5:6" ht="15.75" customHeight="1" x14ac:dyDescent="0.25">
      <c r="E735" s="12"/>
      <c r="F735" s="13"/>
    </row>
    <row r="736" spans="5:6" ht="15.75" customHeight="1" x14ac:dyDescent="0.25">
      <c r="E736" s="12"/>
      <c r="F736" s="13"/>
    </row>
    <row r="737" spans="5:6" ht="15.75" customHeight="1" x14ac:dyDescent="0.25">
      <c r="E737" s="12"/>
      <c r="F737" s="13"/>
    </row>
    <row r="738" spans="5:6" ht="15.75" customHeight="1" x14ac:dyDescent="0.25">
      <c r="E738" s="12"/>
      <c r="F738" s="13"/>
    </row>
    <row r="739" spans="5:6" ht="15.75" customHeight="1" x14ac:dyDescent="0.25">
      <c r="E739" s="12"/>
      <c r="F739" s="13"/>
    </row>
    <row r="740" spans="5:6" ht="15.75" customHeight="1" x14ac:dyDescent="0.25">
      <c r="E740" s="12"/>
      <c r="F740" s="13"/>
    </row>
    <row r="741" spans="5:6" ht="15.75" customHeight="1" x14ac:dyDescent="0.25">
      <c r="E741" s="12"/>
      <c r="F741" s="13"/>
    </row>
    <row r="742" spans="5:6" ht="15.75" customHeight="1" x14ac:dyDescent="0.25">
      <c r="E742" s="12"/>
      <c r="F742" s="13"/>
    </row>
    <row r="743" spans="5:6" ht="15.75" customHeight="1" x14ac:dyDescent="0.25">
      <c r="E743" s="12"/>
      <c r="F743" s="13"/>
    </row>
    <row r="744" spans="5:6" ht="15.75" customHeight="1" x14ac:dyDescent="0.25">
      <c r="E744" s="12"/>
      <c r="F744" s="13"/>
    </row>
    <row r="745" spans="5:6" ht="15.75" customHeight="1" x14ac:dyDescent="0.25">
      <c r="E745" s="12"/>
      <c r="F745" s="13"/>
    </row>
    <row r="746" spans="5:6" ht="15.75" customHeight="1" x14ac:dyDescent="0.25">
      <c r="E746" s="12"/>
      <c r="F746" s="13"/>
    </row>
    <row r="747" spans="5:6" ht="15.75" customHeight="1" x14ac:dyDescent="0.25">
      <c r="E747" s="12"/>
      <c r="F747" s="13"/>
    </row>
    <row r="748" spans="5:6" ht="15.75" customHeight="1" x14ac:dyDescent="0.25">
      <c r="E748" s="12"/>
      <c r="F748" s="13"/>
    </row>
    <row r="749" spans="5:6" ht="15.75" customHeight="1" x14ac:dyDescent="0.25">
      <c r="E749" s="12"/>
      <c r="F749" s="13"/>
    </row>
    <row r="750" spans="5:6" ht="15.75" customHeight="1" x14ac:dyDescent="0.25">
      <c r="E750" s="12"/>
      <c r="F750" s="13"/>
    </row>
    <row r="751" spans="5:6" ht="15.75" customHeight="1" x14ac:dyDescent="0.25">
      <c r="E751" s="12"/>
      <c r="F751" s="13"/>
    </row>
    <row r="752" spans="5:6" ht="15.75" customHeight="1" x14ac:dyDescent="0.25">
      <c r="E752" s="12"/>
      <c r="F752" s="13"/>
    </row>
    <row r="753" spans="5:6" ht="15.75" customHeight="1" x14ac:dyDescent="0.25">
      <c r="E753" s="12"/>
      <c r="F753" s="13"/>
    </row>
    <row r="754" spans="5:6" ht="15.75" customHeight="1" x14ac:dyDescent="0.25">
      <c r="E754" s="12"/>
      <c r="F754" s="13"/>
    </row>
    <row r="755" spans="5:6" ht="15.75" customHeight="1" x14ac:dyDescent="0.25">
      <c r="E755" s="12"/>
      <c r="F755" s="13"/>
    </row>
    <row r="756" spans="5:6" ht="15.75" customHeight="1" x14ac:dyDescent="0.25">
      <c r="E756" s="12"/>
      <c r="F756" s="13"/>
    </row>
    <row r="757" spans="5:6" ht="15.75" customHeight="1" x14ac:dyDescent="0.25">
      <c r="E757" s="12"/>
      <c r="F757" s="13"/>
    </row>
    <row r="758" spans="5:6" ht="15.75" customHeight="1" x14ac:dyDescent="0.25">
      <c r="E758" s="12"/>
      <c r="F758" s="13"/>
    </row>
    <row r="759" spans="5:6" ht="15.75" customHeight="1" x14ac:dyDescent="0.25">
      <c r="E759" s="12"/>
      <c r="F759" s="13"/>
    </row>
    <row r="760" spans="5:6" ht="15.75" customHeight="1" x14ac:dyDescent="0.25">
      <c r="E760" s="12"/>
      <c r="F760" s="13"/>
    </row>
    <row r="761" spans="5:6" ht="15.75" customHeight="1" x14ac:dyDescent="0.25">
      <c r="E761" s="12"/>
      <c r="F761" s="13"/>
    </row>
    <row r="762" spans="5:6" ht="15.75" customHeight="1" x14ac:dyDescent="0.25">
      <c r="E762" s="12"/>
      <c r="F762" s="13"/>
    </row>
    <row r="763" spans="5:6" ht="15.75" customHeight="1" x14ac:dyDescent="0.25">
      <c r="E763" s="12"/>
      <c r="F763" s="13"/>
    </row>
    <row r="764" spans="5:6" ht="15.75" customHeight="1" x14ac:dyDescent="0.25">
      <c r="E764" s="12"/>
      <c r="F764" s="13"/>
    </row>
    <row r="765" spans="5:6" ht="15.75" customHeight="1" x14ac:dyDescent="0.25">
      <c r="E765" s="12"/>
      <c r="F765" s="13"/>
    </row>
    <row r="766" spans="5:6" ht="15.75" customHeight="1" x14ac:dyDescent="0.25">
      <c r="E766" s="12"/>
      <c r="F766" s="13"/>
    </row>
    <row r="767" spans="5:6" ht="15.75" customHeight="1" x14ac:dyDescent="0.25">
      <c r="E767" s="12"/>
      <c r="F767" s="13"/>
    </row>
    <row r="768" spans="5:6" ht="15.75" customHeight="1" x14ac:dyDescent="0.25">
      <c r="E768" s="12"/>
      <c r="F768" s="13"/>
    </row>
    <row r="769" spans="5:6" ht="15.75" customHeight="1" x14ac:dyDescent="0.25">
      <c r="E769" s="12"/>
      <c r="F769" s="13"/>
    </row>
    <row r="770" spans="5:6" ht="15.75" customHeight="1" x14ac:dyDescent="0.25">
      <c r="E770" s="12"/>
      <c r="F770" s="13"/>
    </row>
    <row r="771" spans="5:6" ht="15.75" customHeight="1" x14ac:dyDescent="0.25">
      <c r="E771" s="12"/>
      <c r="F771" s="13"/>
    </row>
    <row r="772" spans="5:6" ht="15.75" customHeight="1" x14ac:dyDescent="0.25">
      <c r="E772" s="12"/>
      <c r="F772" s="13"/>
    </row>
    <row r="773" spans="5:6" ht="15.75" customHeight="1" x14ac:dyDescent="0.25">
      <c r="E773" s="12"/>
      <c r="F773" s="13"/>
    </row>
    <row r="774" spans="5:6" ht="15.75" customHeight="1" x14ac:dyDescent="0.25">
      <c r="E774" s="12"/>
      <c r="F774" s="13"/>
    </row>
    <row r="775" spans="5:6" ht="15.75" customHeight="1" x14ac:dyDescent="0.25">
      <c r="E775" s="12"/>
      <c r="F775" s="13"/>
    </row>
    <row r="776" spans="5:6" ht="15.75" customHeight="1" x14ac:dyDescent="0.25">
      <c r="E776" s="12"/>
      <c r="F776" s="13"/>
    </row>
    <row r="777" spans="5:6" ht="15.75" customHeight="1" x14ac:dyDescent="0.25">
      <c r="E777" s="12"/>
      <c r="F777" s="13"/>
    </row>
    <row r="778" spans="5:6" ht="15.75" customHeight="1" x14ac:dyDescent="0.25">
      <c r="E778" s="12"/>
      <c r="F778" s="13"/>
    </row>
    <row r="779" spans="5:6" ht="15.75" customHeight="1" x14ac:dyDescent="0.25">
      <c r="E779" s="12"/>
      <c r="F779" s="13"/>
    </row>
    <row r="780" spans="5:6" ht="15.75" customHeight="1" x14ac:dyDescent="0.25">
      <c r="E780" s="12"/>
      <c r="F780" s="13"/>
    </row>
    <row r="781" spans="5:6" ht="15.75" customHeight="1" x14ac:dyDescent="0.25">
      <c r="E781" s="12"/>
      <c r="F781" s="13"/>
    </row>
    <row r="782" spans="5:6" ht="15.75" customHeight="1" x14ac:dyDescent="0.25">
      <c r="E782" s="12"/>
      <c r="F782" s="13"/>
    </row>
    <row r="783" spans="5:6" ht="15.75" customHeight="1" x14ac:dyDescent="0.25">
      <c r="E783" s="12"/>
      <c r="F783" s="13"/>
    </row>
    <row r="784" spans="5:6" ht="15.75" customHeight="1" x14ac:dyDescent="0.25">
      <c r="E784" s="12"/>
      <c r="F784" s="13"/>
    </row>
    <row r="785" spans="5:6" ht="15.75" customHeight="1" x14ac:dyDescent="0.25">
      <c r="E785" s="12"/>
      <c r="F785" s="13"/>
    </row>
    <row r="786" spans="5:6" ht="15.75" customHeight="1" x14ac:dyDescent="0.25">
      <c r="E786" s="12"/>
      <c r="F786" s="13"/>
    </row>
    <row r="787" spans="5:6" ht="15.75" customHeight="1" x14ac:dyDescent="0.25">
      <c r="E787" s="12"/>
      <c r="F787" s="13"/>
    </row>
    <row r="788" spans="5:6" ht="15.75" customHeight="1" x14ac:dyDescent="0.25">
      <c r="E788" s="12"/>
      <c r="F788" s="13"/>
    </row>
    <row r="789" spans="5:6" ht="15.75" customHeight="1" x14ac:dyDescent="0.25">
      <c r="E789" s="12"/>
      <c r="F789" s="13"/>
    </row>
    <row r="790" spans="5:6" ht="15.75" customHeight="1" x14ac:dyDescent="0.25">
      <c r="E790" s="12"/>
      <c r="F790" s="13"/>
    </row>
    <row r="791" spans="5:6" ht="15.75" customHeight="1" x14ac:dyDescent="0.25">
      <c r="E791" s="12"/>
      <c r="F791" s="13"/>
    </row>
    <row r="792" spans="5:6" ht="15.75" customHeight="1" x14ac:dyDescent="0.25">
      <c r="E792" s="12"/>
      <c r="F792" s="13"/>
    </row>
    <row r="793" spans="5:6" ht="15.75" customHeight="1" x14ac:dyDescent="0.25">
      <c r="E793" s="12"/>
      <c r="F793" s="13"/>
    </row>
    <row r="794" spans="5:6" ht="15.75" customHeight="1" x14ac:dyDescent="0.25">
      <c r="E794" s="12"/>
      <c r="F794" s="13"/>
    </row>
    <row r="795" spans="5:6" ht="15.75" customHeight="1" x14ac:dyDescent="0.25">
      <c r="E795" s="12"/>
      <c r="F795" s="13"/>
    </row>
    <row r="796" spans="5:6" ht="15.75" customHeight="1" x14ac:dyDescent="0.25">
      <c r="E796" s="12"/>
      <c r="F796" s="13"/>
    </row>
    <row r="797" spans="5:6" ht="15.75" customHeight="1" x14ac:dyDescent="0.25">
      <c r="E797" s="12"/>
      <c r="F797" s="13"/>
    </row>
    <row r="798" spans="5:6" ht="15.75" customHeight="1" x14ac:dyDescent="0.25">
      <c r="E798" s="12"/>
      <c r="F798" s="13"/>
    </row>
    <row r="799" spans="5:6" ht="15.75" customHeight="1" x14ac:dyDescent="0.25">
      <c r="E799" s="12"/>
      <c r="F799" s="13"/>
    </row>
    <row r="800" spans="5:6" ht="15.75" customHeight="1" x14ac:dyDescent="0.25">
      <c r="E800" s="12"/>
      <c r="F800" s="13"/>
    </row>
    <row r="801" spans="5:6" ht="15.75" customHeight="1" x14ac:dyDescent="0.25">
      <c r="E801" s="12"/>
      <c r="F801" s="13"/>
    </row>
    <row r="802" spans="5:6" ht="15.75" customHeight="1" x14ac:dyDescent="0.25">
      <c r="E802" s="12"/>
      <c r="F802" s="13"/>
    </row>
    <row r="803" spans="5:6" ht="15.75" customHeight="1" x14ac:dyDescent="0.25">
      <c r="E803" s="12"/>
      <c r="F803" s="13"/>
    </row>
    <row r="804" spans="5:6" ht="15.75" customHeight="1" x14ac:dyDescent="0.25">
      <c r="E804" s="12"/>
      <c r="F804" s="13"/>
    </row>
    <row r="805" spans="5:6" ht="15.75" customHeight="1" x14ac:dyDescent="0.25">
      <c r="E805" s="12"/>
      <c r="F805" s="13"/>
    </row>
    <row r="806" spans="5:6" ht="15.75" customHeight="1" x14ac:dyDescent="0.25">
      <c r="E806" s="12"/>
      <c r="F806" s="13"/>
    </row>
    <row r="807" spans="5:6" ht="15.75" customHeight="1" x14ac:dyDescent="0.25">
      <c r="E807" s="12"/>
      <c r="F807" s="13"/>
    </row>
    <row r="808" spans="5:6" ht="15.75" customHeight="1" x14ac:dyDescent="0.25">
      <c r="E808" s="12"/>
      <c r="F808" s="13"/>
    </row>
    <row r="809" spans="5:6" ht="15.75" customHeight="1" x14ac:dyDescent="0.25">
      <c r="E809" s="12"/>
      <c r="F809" s="13"/>
    </row>
    <row r="810" spans="5:6" ht="15.75" customHeight="1" x14ac:dyDescent="0.25">
      <c r="E810" s="12"/>
      <c r="F810" s="13"/>
    </row>
    <row r="811" spans="5:6" ht="15.75" customHeight="1" x14ac:dyDescent="0.25">
      <c r="E811" s="12"/>
      <c r="F811" s="13"/>
    </row>
    <row r="812" spans="5:6" ht="15.75" customHeight="1" x14ac:dyDescent="0.25">
      <c r="E812" s="12"/>
      <c r="F812" s="13"/>
    </row>
    <row r="813" spans="5:6" ht="15.75" customHeight="1" x14ac:dyDescent="0.25">
      <c r="E813" s="12"/>
      <c r="F813" s="13"/>
    </row>
    <row r="814" spans="5:6" ht="15.75" customHeight="1" x14ac:dyDescent="0.25">
      <c r="E814" s="12"/>
      <c r="F814" s="13"/>
    </row>
    <row r="815" spans="5:6" ht="15.75" customHeight="1" x14ac:dyDescent="0.25">
      <c r="E815" s="12"/>
      <c r="F815" s="13"/>
    </row>
    <row r="816" spans="5:6" ht="15.75" customHeight="1" x14ac:dyDescent="0.25">
      <c r="E816" s="12"/>
      <c r="F816" s="13"/>
    </row>
    <row r="817" spans="5:6" ht="15.75" customHeight="1" x14ac:dyDescent="0.25">
      <c r="E817" s="12"/>
      <c r="F817" s="13"/>
    </row>
    <row r="818" spans="5:6" ht="15.75" customHeight="1" x14ac:dyDescent="0.25">
      <c r="E818" s="12"/>
      <c r="F818" s="13"/>
    </row>
    <row r="819" spans="5:6" ht="15.75" customHeight="1" x14ac:dyDescent="0.25">
      <c r="E819" s="12"/>
      <c r="F819" s="13"/>
    </row>
    <row r="820" spans="5:6" ht="15.75" customHeight="1" x14ac:dyDescent="0.25">
      <c r="E820" s="12"/>
      <c r="F820" s="13"/>
    </row>
    <row r="821" spans="5:6" ht="15.75" customHeight="1" x14ac:dyDescent="0.25">
      <c r="E821" s="12"/>
      <c r="F821" s="13"/>
    </row>
    <row r="822" spans="5:6" ht="15.75" customHeight="1" x14ac:dyDescent="0.25">
      <c r="E822" s="12"/>
      <c r="F822" s="13"/>
    </row>
    <row r="823" spans="5:6" ht="15.75" customHeight="1" x14ac:dyDescent="0.25">
      <c r="E823" s="12"/>
      <c r="F823" s="13"/>
    </row>
    <row r="824" spans="5:6" ht="15.75" customHeight="1" x14ac:dyDescent="0.25">
      <c r="E824" s="12"/>
      <c r="F824" s="13"/>
    </row>
    <row r="825" spans="5:6" ht="15.75" customHeight="1" x14ac:dyDescent="0.25">
      <c r="E825" s="12"/>
      <c r="F825" s="13"/>
    </row>
    <row r="826" spans="5:6" ht="15.75" customHeight="1" x14ac:dyDescent="0.25">
      <c r="E826" s="12"/>
      <c r="F826" s="13"/>
    </row>
    <row r="827" spans="5:6" ht="15.75" customHeight="1" x14ac:dyDescent="0.25">
      <c r="E827" s="12"/>
      <c r="F827" s="13"/>
    </row>
    <row r="828" spans="5:6" ht="15.75" customHeight="1" x14ac:dyDescent="0.25">
      <c r="E828" s="12"/>
      <c r="F828" s="13"/>
    </row>
    <row r="829" spans="5:6" ht="15.75" customHeight="1" x14ac:dyDescent="0.25">
      <c r="E829" s="12"/>
      <c r="F829" s="13"/>
    </row>
    <row r="830" spans="5:6" ht="15.75" customHeight="1" x14ac:dyDescent="0.25">
      <c r="E830" s="12"/>
      <c r="F830" s="13"/>
    </row>
    <row r="831" spans="5:6" ht="15.75" customHeight="1" x14ac:dyDescent="0.25">
      <c r="E831" s="12"/>
      <c r="F831" s="13"/>
    </row>
    <row r="832" spans="5:6" ht="15.75" customHeight="1" x14ac:dyDescent="0.25">
      <c r="E832" s="12"/>
      <c r="F832" s="13"/>
    </row>
    <row r="833" spans="5:6" ht="15.75" customHeight="1" x14ac:dyDescent="0.25">
      <c r="E833" s="12"/>
      <c r="F833" s="13"/>
    </row>
    <row r="834" spans="5:6" ht="15.75" customHeight="1" x14ac:dyDescent="0.25">
      <c r="E834" s="12"/>
      <c r="F834" s="13"/>
    </row>
    <row r="835" spans="5:6" ht="15.75" customHeight="1" x14ac:dyDescent="0.25">
      <c r="E835" s="12"/>
      <c r="F835" s="13"/>
    </row>
    <row r="836" spans="5:6" ht="15.75" customHeight="1" x14ac:dyDescent="0.25">
      <c r="E836" s="12"/>
      <c r="F836" s="13"/>
    </row>
    <row r="837" spans="5:6" ht="15.75" customHeight="1" x14ac:dyDescent="0.25">
      <c r="E837" s="12"/>
      <c r="F837" s="13"/>
    </row>
    <row r="838" spans="5:6" ht="15.75" customHeight="1" x14ac:dyDescent="0.25">
      <c r="E838" s="12"/>
      <c r="F838" s="13"/>
    </row>
    <row r="839" spans="5:6" ht="15.75" customHeight="1" x14ac:dyDescent="0.25">
      <c r="E839" s="12"/>
      <c r="F839" s="13"/>
    </row>
    <row r="840" spans="5:6" ht="15.75" customHeight="1" x14ac:dyDescent="0.25">
      <c r="E840" s="12"/>
      <c r="F840" s="13"/>
    </row>
    <row r="841" spans="5:6" ht="15.75" customHeight="1" x14ac:dyDescent="0.25">
      <c r="E841" s="12"/>
      <c r="F841" s="13"/>
    </row>
    <row r="842" spans="5:6" ht="15.75" customHeight="1" x14ac:dyDescent="0.25">
      <c r="E842" s="12"/>
      <c r="F842" s="13"/>
    </row>
    <row r="843" spans="5:6" ht="15.75" customHeight="1" x14ac:dyDescent="0.25">
      <c r="E843" s="12"/>
      <c r="F843" s="13"/>
    </row>
    <row r="844" spans="5:6" ht="15.75" customHeight="1" x14ac:dyDescent="0.25">
      <c r="E844" s="12"/>
      <c r="F844" s="13"/>
    </row>
    <row r="845" spans="5:6" ht="15.75" customHeight="1" x14ac:dyDescent="0.25">
      <c r="E845" s="12"/>
      <c r="F845" s="13"/>
    </row>
    <row r="846" spans="5:6" ht="15.75" customHeight="1" x14ac:dyDescent="0.25">
      <c r="E846" s="12"/>
      <c r="F846" s="13"/>
    </row>
    <row r="847" spans="5:6" ht="15.75" customHeight="1" x14ac:dyDescent="0.25">
      <c r="E847" s="12"/>
      <c r="F847" s="13"/>
    </row>
    <row r="848" spans="5:6" ht="15.75" customHeight="1" x14ac:dyDescent="0.25">
      <c r="E848" s="12"/>
      <c r="F848" s="13"/>
    </row>
    <row r="849" spans="5:6" ht="15.75" customHeight="1" x14ac:dyDescent="0.25">
      <c r="E849" s="12"/>
      <c r="F849" s="13"/>
    </row>
    <row r="850" spans="5:6" ht="15.75" customHeight="1" x14ac:dyDescent="0.25">
      <c r="E850" s="12"/>
      <c r="F850" s="13"/>
    </row>
    <row r="851" spans="5:6" ht="15.75" customHeight="1" x14ac:dyDescent="0.25">
      <c r="E851" s="12"/>
      <c r="F851" s="13"/>
    </row>
    <row r="852" spans="5:6" ht="15.75" customHeight="1" x14ac:dyDescent="0.25">
      <c r="E852" s="12"/>
      <c r="F852" s="13"/>
    </row>
    <row r="853" spans="5:6" ht="15.75" customHeight="1" x14ac:dyDescent="0.25">
      <c r="E853" s="12"/>
      <c r="F853" s="13"/>
    </row>
    <row r="854" spans="5:6" ht="15.75" customHeight="1" x14ac:dyDescent="0.25">
      <c r="E854" s="12"/>
      <c r="F854" s="13"/>
    </row>
    <row r="855" spans="5:6" ht="15.75" customHeight="1" x14ac:dyDescent="0.25">
      <c r="E855" s="12"/>
      <c r="F855" s="13"/>
    </row>
    <row r="856" spans="5:6" ht="15.75" customHeight="1" x14ac:dyDescent="0.25">
      <c r="E856" s="12"/>
      <c r="F856" s="13"/>
    </row>
    <row r="857" spans="5:6" ht="15.75" customHeight="1" x14ac:dyDescent="0.25">
      <c r="E857" s="12"/>
      <c r="F857" s="13"/>
    </row>
    <row r="858" spans="5:6" ht="15.75" customHeight="1" x14ac:dyDescent="0.25">
      <c r="E858" s="12"/>
      <c r="F858" s="13"/>
    </row>
    <row r="859" spans="5:6" ht="15.75" customHeight="1" x14ac:dyDescent="0.25">
      <c r="E859" s="12"/>
      <c r="F859" s="13"/>
    </row>
    <row r="860" spans="5:6" ht="15.75" customHeight="1" x14ac:dyDescent="0.25">
      <c r="E860" s="12"/>
      <c r="F860" s="13"/>
    </row>
    <row r="861" spans="5:6" ht="15.75" customHeight="1" x14ac:dyDescent="0.25">
      <c r="E861" s="12"/>
      <c r="F861" s="13"/>
    </row>
    <row r="862" spans="5:6" ht="15.75" customHeight="1" x14ac:dyDescent="0.25">
      <c r="E862" s="12"/>
      <c r="F862" s="13"/>
    </row>
    <row r="863" spans="5:6" ht="15.75" customHeight="1" x14ac:dyDescent="0.25">
      <c r="E863" s="12"/>
      <c r="F863" s="13"/>
    </row>
    <row r="864" spans="5:6" ht="15.75" customHeight="1" x14ac:dyDescent="0.25">
      <c r="E864" s="12"/>
      <c r="F864" s="13"/>
    </row>
    <row r="865" spans="5:6" ht="15.75" customHeight="1" x14ac:dyDescent="0.25">
      <c r="E865" s="12"/>
      <c r="F865" s="13"/>
    </row>
    <row r="866" spans="5:6" ht="15.75" customHeight="1" x14ac:dyDescent="0.25">
      <c r="E866" s="12"/>
      <c r="F866" s="13"/>
    </row>
    <row r="867" spans="5:6" ht="15.75" customHeight="1" x14ac:dyDescent="0.25">
      <c r="E867" s="12"/>
      <c r="F867" s="13"/>
    </row>
    <row r="868" spans="5:6" ht="15.75" customHeight="1" x14ac:dyDescent="0.25">
      <c r="E868" s="12"/>
      <c r="F868" s="13"/>
    </row>
    <row r="869" spans="5:6" ht="15.75" customHeight="1" x14ac:dyDescent="0.25">
      <c r="E869" s="12"/>
      <c r="F869" s="13"/>
    </row>
    <row r="870" spans="5:6" ht="15.75" customHeight="1" x14ac:dyDescent="0.25">
      <c r="E870" s="12"/>
      <c r="F870" s="13"/>
    </row>
    <row r="871" spans="5:6" ht="15.75" customHeight="1" x14ac:dyDescent="0.25">
      <c r="E871" s="12"/>
      <c r="F871" s="13"/>
    </row>
    <row r="872" spans="5:6" ht="15.75" customHeight="1" x14ac:dyDescent="0.25">
      <c r="E872" s="12"/>
      <c r="F872" s="13"/>
    </row>
    <row r="873" spans="5:6" ht="15.75" customHeight="1" x14ac:dyDescent="0.25">
      <c r="E873" s="12"/>
      <c r="F873" s="13"/>
    </row>
    <row r="874" spans="5:6" ht="15.75" customHeight="1" x14ac:dyDescent="0.25">
      <c r="E874" s="12"/>
      <c r="F874" s="13"/>
    </row>
    <row r="875" spans="5:6" ht="15.75" customHeight="1" x14ac:dyDescent="0.25">
      <c r="E875" s="12"/>
      <c r="F875" s="13"/>
    </row>
    <row r="876" spans="5:6" ht="15.75" customHeight="1" x14ac:dyDescent="0.25">
      <c r="E876" s="12"/>
      <c r="F876" s="13"/>
    </row>
    <row r="877" spans="5:6" ht="15.75" customHeight="1" x14ac:dyDescent="0.25">
      <c r="E877" s="12"/>
      <c r="F877" s="13"/>
    </row>
    <row r="878" spans="5:6" ht="15.75" customHeight="1" x14ac:dyDescent="0.25">
      <c r="E878" s="12"/>
      <c r="F878" s="13"/>
    </row>
    <row r="879" spans="5:6" ht="15.75" customHeight="1" x14ac:dyDescent="0.25">
      <c r="E879" s="12"/>
      <c r="F879" s="13"/>
    </row>
    <row r="880" spans="5:6" ht="15.75" customHeight="1" x14ac:dyDescent="0.25">
      <c r="E880" s="12"/>
      <c r="F880" s="13"/>
    </row>
    <row r="881" spans="5:6" ht="15.75" customHeight="1" x14ac:dyDescent="0.25">
      <c r="E881" s="12"/>
      <c r="F881" s="13"/>
    </row>
    <row r="882" spans="5:6" ht="15.75" customHeight="1" x14ac:dyDescent="0.25">
      <c r="E882" s="12"/>
      <c r="F882" s="13"/>
    </row>
    <row r="883" spans="5:6" ht="15.75" customHeight="1" x14ac:dyDescent="0.25">
      <c r="E883" s="12"/>
      <c r="F883" s="13"/>
    </row>
    <row r="884" spans="5:6" ht="15.75" customHeight="1" x14ac:dyDescent="0.25">
      <c r="E884" s="12"/>
      <c r="F884" s="13"/>
    </row>
    <row r="885" spans="5:6" ht="15.75" customHeight="1" x14ac:dyDescent="0.25">
      <c r="E885" s="12"/>
      <c r="F885" s="13"/>
    </row>
    <row r="886" spans="5:6" ht="15.75" customHeight="1" x14ac:dyDescent="0.25">
      <c r="E886" s="12"/>
      <c r="F886" s="13"/>
    </row>
    <row r="887" spans="5:6" ht="15.75" customHeight="1" x14ac:dyDescent="0.25">
      <c r="E887" s="12"/>
      <c r="F887" s="13"/>
    </row>
    <row r="888" spans="5:6" ht="15.75" customHeight="1" x14ac:dyDescent="0.25">
      <c r="E888" s="12"/>
      <c r="F888" s="13"/>
    </row>
    <row r="889" spans="5:6" ht="15.75" customHeight="1" x14ac:dyDescent="0.25">
      <c r="E889" s="12"/>
      <c r="F889" s="13"/>
    </row>
    <row r="890" spans="5:6" ht="15.75" customHeight="1" x14ac:dyDescent="0.25">
      <c r="E890" s="12"/>
      <c r="F890" s="13"/>
    </row>
    <row r="891" spans="5:6" ht="15.75" customHeight="1" x14ac:dyDescent="0.25">
      <c r="E891" s="12"/>
      <c r="F891" s="13"/>
    </row>
    <row r="892" spans="5:6" ht="15.75" customHeight="1" x14ac:dyDescent="0.25">
      <c r="E892" s="12"/>
      <c r="F892" s="13"/>
    </row>
    <row r="893" spans="5:6" ht="15.75" customHeight="1" x14ac:dyDescent="0.25">
      <c r="E893" s="12"/>
      <c r="F893" s="13"/>
    </row>
    <row r="894" spans="5:6" ht="15.75" customHeight="1" x14ac:dyDescent="0.25">
      <c r="E894" s="12"/>
      <c r="F894" s="13"/>
    </row>
    <row r="895" spans="5:6" ht="15.75" customHeight="1" x14ac:dyDescent="0.25">
      <c r="E895" s="12"/>
      <c r="F895" s="13"/>
    </row>
    <row r="896" spans="5:6" ht="15.75" customHeight="1" x14ac:dyDescent="0.25">
      <c r="E896" s="12"/>
      <c r="F896" s="13"/>
    </row>
    <row r="897" spans="5:6" ht="15.75" customHeight="1" x14ac:dyDescent="0.25">
      <c r="E897" s="12"/>
      <c r="F897" s="13"/>
    </row>
    <row r="898" spans="5:6" ht="15.75" customHeight="1" x14ac:dyDescent="0.25">
      <c r="E898" s="12"/>
      <c r="F898" s="13"/>
    </row>
    <row r="899" spans="5:6" ht="15.75" customHeight="1" x14ac:dyDescent="0.25">
      <c r="E899" s="12"/>
      <c r="F899" s="13"/>
    </row>
    <row r="900" spans="5:6" ht="15.75" customHeight="1" x14ac:dyDescent="0.25">
      <c r="E900" s="12"/>
      <c r="F900" s="13"/>
    </row>
    <row r="901" spans="5:6" ht="15.75" customHeight="1" x14ac:dyDescent="0.25">
      <c r="E901" s="12"/>
      <c r="F901" s="13"/>
    </row>
    <row r="902" spans="5:6" ht="15.75" customHeight="1" x14ac:dyDescent="0.25">
      <c r="E902" s="12"/>
      <c r="F902" s="13"/>
    </row>
    <row r="903" spans="5:6" ht="15.75" customHeight="1" x14ac:dyDescent="0.25">
      <c r="E903" s="12"/>
      <c r="F903" s="13"/>
    </row>
    <row r="904" spans="5:6" ht="15.75" customHeight="1" x14ac:dyDescent="0.25">
      <c r="E904" s="12"/>
      <c r="F904" s="13"/>
    </row>
    <row r="905" spans="5:6" ht="15.75" customHeight="1" x14ac:dyDescent="0.25">
      <c r="E905" s="12"/>
      <c r="F905" s="13"/>
    </row>
    <row r="906" spans="5:6" ht="15.75" customHeight="1" x14ac:dyDescent="0.25">
      <c r="E906" s="12"/>
      <c r="F906" s="13"/>
    </row>
    <row r="907" spans="5:6" ht="15.75" customHeight="1" x14ac:dyDescent="0.25">
      <c r="E907" s="12"/>
      <c r="F907" s="13"/>
    </row>
    <row r="908" spans="5:6" ht="15.75" customHeight="1" x14ac:dyDescent="0.25">
      <c r="E908" s="12"/>
      <c r="F908" s="13"/>
    </row>
    <row r="909" spans="5:6" ht="15.75" customHeight="1" x14ac:dyDescent="0.25">
      <c r="E909" s="12"/>
      <c r="F909" s="13"/>
    </row>
    <row r="910" spans="5:6" ht="15.75" customHeight="1" x14ac:dyDescent="0.25">
      <c r="E910" s="12"/>
      <c r="F910" s="13"/>
    </row>
    <row r="911" spans="5:6" ht="15.75" customHeight="1" x14ac:dyDescent="0.25">
      <c r="E911" s="12"/>
      <c r="F911" s="13"/>
    </row>
    <row r="912" spans="5:6" ht="15.75" customHeight="1" x14ac:dyDescent="0.25">
      <c r="E912" s="12"/>
      <c r="F912" s="13"/>
    </row>
    <row r="913" spans="5:6" ht="15.75" customHeight="1" x14ac:dyDescent="0.25">
      <c r="E913" s="12"/>
      <c r="F913" s="13"/>
    </row>
    <row r="914" spans="5:6" ht="15.75" customHeight="1" x14ac:dyDescent="0.25">
      <c r="E914" s="12"/>
      <c r="F914" s="13"/>
    </row>
    <row r="915" spans="5:6" ht="15.75" customHeight="1" x14ac:dyDescent="0.25">
      <c r="E915" s="12"/>
      <c r="F915" s="13"/>
    </row>
    <row r="916" spans="5:6" ht="15.75" customHeight="1" x14ac:dyDescent="0.25">
      <c r="E916" s="12"/>
      <c r="F916" s="13"/>
    </row>
    <row r="917" spans="5:6" ht="15.75" customHeight="1" x14ac:dyDescent="0.25">
      <c r="E917" s="12"/>
      <c r="F917" s="13"/>
    </row>
    <row r="918" spans="5:6" ht="15.75" customHeight="1" x14ac:dyDescent="0.25">
      <c r="E918" s="12"/>
      <c r="F918" s="13"/>
    </row>
    <row r="919" spans="5:6" ht="15.75" customHeight="1" x14ac:dyDescent="0.25">
      <c r="E919" s="12"/>
      <c r="F919" s="13"/>
    </row>
    <row r="920" spans="5:6" ht="15.75" customHeight="1" x14ac:dyDescent="0.25">
      <c r="E920" s="12"/>
      <c r="F920" s="13"/>
    </row>
    <row r="921" spans="5:6" ht="15.75" customHeight="1" x14ac:dyDescent="0.25">
      <c r="E921" s="12"/>
      <c r="F921" s="13"/>
    </row>
    <row r="922" spans="5:6" ht="15.75" customHeight="1" x14ac:dyDescent="0.25">
      <c r="E922" s="12"/>
      <c r="F922" s="13"/>
    </row>
    <row r="923" spans="5:6" ht="15.75" customHeight="1" x14ac:dyDescent="0.25">
      <c r="E923" s="12"/>
      <c r="F923" s="13"/>
    </row>
    <row r="924" spans="5:6" ht="15.75" customHeight="1" x14ac:dyDescent="0.25">
      <c r="E924" s="12"/>
      <c r="F924" s="13"/>
    </row>
    <row r="925" spans="5:6" ht="15.75" customHeight="1" x14ac:dyDescent="0.25">
      <c r="E925" s="12"/>
      <c r="F925" s="13"/>
    </row>
    <row r="926" spans="5:6" ht="15.75" customHeight="1" x14ac:dyDescent="0.25">
      <c r="E926" s="12"/>
      <c r="F926" s="13"/>
    </row>
    <row r="927" spans="5:6" ht="15.75" customHeight="1" x14ac:dyDescent="0.25">
      <c r="E927" s="12"/>
      <c r="F927" s="13"/>
    </row>
    <row r="928" spans="5:6" ht="15.75" customHeight="1" x14ac:dyDescent="0.25">
      <c r="E928" s="12"/>
      <c r="F928" s="13"/>
    </row>
    <row r="929" spans="5:6" ht="15.75" customHeight="1" x14ac:dyDescent="0.25">
      <c r="E929" s="12"/>
      <c r="F929" s="13"/>
    </row>
    <row r="930" spans="5:6" ht="15.75" customHeight="1" x14ac:dyDescent="0.25">
      <c r="E930" s="12"/>
      <c r="F930" s="13"/>
    </row>
    <row r="931" spans="5:6" ht="15.75" customHeight="1" x14ac:dyDescent="0.25">
      <c r="E931" s="12"/>
      <c r="F931" s="13"/>
    </row>
    <row r="932" spans="5:6" ht="15.75" customHeight="1" x14ac:dyDescent="0.25">
      <c r="E932" s="12"/>
      <c r="F932" s="13"/>
    </row>
    <row r="933" spans="5:6" ht="15.75" customHeight="1" x14ac:dyDescent="0.25">
      <c r="E933" s="12"/>
      <c r="F933" s="13"/>
    </row>
    <row r="934" spans="5:6" ht="15.75" customHeight="1" x14ac:dyDescent="0.25">
      <c r="E934" s="12"/>
      <c r="F934" s="13"/>
    </row>
    <row r="935" spans="5:6" ht="15.75" customHeight="1" x14ac:dyDescent="0.25">
      <c r="E935" s="12"/>
      <c r="F935" s="13"/>
    </row>
    <row r="936" spans="5:6" ht="15.75" customHeight="1" x14ac:dyDescent="0.25">
      <c r="E936" s="12"/>
      <c r="F936" s="13"/>
    </row>
    <row r="937" spans="5:6" ht="15.75" customHeight="1" x14ac:dyDescent="0.25">
      <c r="E937" s="12"/>
      <c r="F937" s="13"/>
    </row>
    <row r="938" spans="5:6" ht="15.75" customHeight="1" x14ac:dyDescent="0.25">
      <c r="E938" s="12"/>
      <c r="F938" s="13"/>
    </row>
    <row r="939" spans="5:6" ht="15.75" customHeight="1" x14ac:dyDescent="0.25">
      <c r="E939" s="12"/>
      <c r="F939" s="13"/>
    </row>
    <row r="940" spans="5:6" ht="15.75" customHeight="1" x14ac:dyDescent="0.25">
      <c r="E940" s="12"/>
      <c r="F940" s="13"/>
    </row>
    <row r="941" spans="5:6" ht="15.75" customHeight="1" x14ac:dyDescent="0.25">
      <c r="E941" s="12"/>
      <c r="F941" s="13"/>
    </row>
    <row r="942" spans="5:6" ht="15.75" customHeight="1" x14ac:dyDescent="0.25">
      <c r="E942" s="12"/>
      <c r="F942" s="13"/>
    </row>
    <row r="943" spans="5:6" ht="15.75" customHeight="1" x14ac:dyDescent="0.25">
      <c r="E943" s="12"/>
      <c r="F943" s="13"/>
    </row>
    <row r="944" spans="5:6" ht="15.75" customHeight="1" x14ac:dyDescent="0.25">
      <c r="E944" s="12"/>
      <c r="F944" s="13"/>
    </row>
    <row r="945" spans="5:6" ht="15.75" customHeight="1" x14ac:dyDescent="0.25">
      <c r="E945" s="12"/>
      <c r="F945" s="13"/>
    </row>
    <row r="946" spans="5:6" ht="15.75" customHeight="1" x14ac:dyDescent="0.25">
      <c r="E946" s="12"/>
      <c r="F946" s="13"/>
    </row>
    <row r="947" spans="5:6" ht="15.75" customHeight="1" x14ac:dyDescent="0.25">
      <c r="E947" s="12"/>
      <c r="F947" s="13"/>
    </row>
    <row r="948" spans="5:6" ht="15.75" customHeight="1" x14ac:dyDescent="0.25">
      <c r="E948" s="12"/>
      <c r="F948" s="13"/>
    </row>
    <row r="949" spans="5:6" ht="15.75" customHeight="1" x14ac:dyDescent="0.25">
      <c r="E949" s="12"/>
      <c r="F949" s="13"/>
    </row>
    <row r="950" spans="5:6" ht="15.75" customHeight="1" x14ac:dyDescent="0.25">
      <c r="E950" s="12"/>
      <c r="F950" s="13"/>
    </row>
    <row r="951" spans="5:6" ht="15.75" customHeight="1" x14ac:dyDescent="0.25">
      <c r="E951" s="12"/>
      <c r="F951" s="13"/>
    </row>
    <row r="952" spans="5:6" ht="15.75" customHeight="1" x14ac:dyDescent="0.25">
      <c r="E952" s="12"/>
      <c r="F952" s="13"/>
    </row>
    <row r="953" spans="5:6" ht="15.75" customHeight="1" x14ac:dyDescent="0.25">
      <c r="E953" s="12"/>
      <c r="F953" s="13"/>
    </row>
    <row r="954" spans="5:6" ht="15.75" customHeight="1" x14ac:dyDescent="0.25">
      <c r="E954" s="12"/>
      <c r="F954" s="13"/>
    </row>
    <row r="955" spans="5:6" ht="15.75" customHeight="1" x14ac:dyDescent="0.25">
      <c r="E955" s="12"/>
      <c r="F955" s="13"/>
    </row>
    <row r="956" spans="5:6" ht="15.75" customHeight="1" x14ac:dyDescent="0.25">
      <c r="E956" s="12"/>
      <c r="F956" s="13"/>
    </row>
    <row r="957" spans="5:6" ht="15.75" customHeight="1" x14ac:dyDescent="0.25">
      <c r="E957" s="12"/>
      <c r="F957" s="13"/>
    </row>
    <row r="958" spans="5:6" ht="15.75" customHeight="1" x14ac:dyDescent="0.25">
      <c r="E958" s="12"/>
      <c r="F958" s="13"/>
    </row>
    <row r="959" spans="5:6" ht="15.75" customHeight="1" x14ac:dyDescent="0.25">
      <c r="E959" s="12"/>
      <c r="F959" s="13"/>
    </row>
    <row r="960" spans="5:6" ht="15.75" customHeight="1" x14ac:dyDescent="0.25">
      <c r="E960" s="12"/>
      <c r="F960" s="13"/>
    </row>
    <row r="961" spans="5:6" ht="15.75" customHeight="1" x14ac:dyDescent="0.25">
      <c r="E961" s="12"/>
      <c r="F961" s="13"/>
    </row>
    <row r="962" spans="5:6" ht="15.75" customHeight="1" x14ac:dyDescent="0.25">
      <c r="E962" s="12"/>
      <c r="F962" s="13"/>
    </row>
    <row r="963" spans="5:6" ht="15.75" customHeight="1" x14ac:dyDescent="0.25">
      <c r="E963" s="12"/>
      <c r="F963" s="13"/>
    </row>
    <row r="964" spans="5:6" ht="15.75" customHeight="1" x14ac:dyDescent="0.25">
      <c r="E964" s="12"/>
      <c r="F964" s="13"/>
    </row>
    <row r="965" spans="5:6" ht="15.75" customHeight="1" x14ac:dyDescent="0.25">
      <c r="E965" s="12"/>
      <c r="F965" s="13"/>
    </row>
    <row r="966" spans="5:6" ht="15.75" customHeight="1" x14ac:dyDescent="0.25">
      <c r="E966" s="12"/>
      <c r="F966" s="13"/>
    </row>
    <row r="967" spans="5:6" ht="15.75" customHeight="1" x14ac:dyDescent="0.25">
      <c r="E967" s="12"/>
      <c r="F967" s="13"/>
    </row>
    <row r="968" spans="5:6" ht="15.75" customHeight="1" x14ac:dyDescent="0.25">
      <c r="E968" s="12"/>
      <c r="F968" s="13"/>
    </row>
    <row r="969" spans="5:6" ht="15.75" customHeight="1" x14ac:dyDescent="0.25">
      <c r="E969" s="12"/>
      <c r="F969" s="13"/>
    </row>
    <row r="970" spans="5:6" ht="15.75" customHeight="1" x14ac:dyDescent="0.25">
      <c r="E970" s="12"/>
      <c r="F970" s="13"/>
    </row>
    <row r="971" spans="5:6" ht="15.75" customHeight="1" x14ac:dyDescent="0.25">
      <c r="E971" s="12"/>
      <c r="F971" s="13"/>
    </row>
    <row r="972" spans="5:6" ht="15.75" customHeight="1" x14ac:dyDescent="0.25">
      <c r="E972" s="12"/>
      <c r="F972" s="13"/>
    </row>
    <row r="973" spans="5:6" ht="15.75" customHeight="1" x14ac:dyDescent="0.25">
      <c r="E973" s="12"/>
      <c r="F973" s="13"/>
    </row>
    <row r="974" spans="5:6" ht="15.75" customHeight="1" x14ac:dyDescent="0.25">
      <c r="E974" s="12"/>
      <c r="F974" s="13"/>
    </row>
    <row r="975" spans="5:6" ht="15.75" customHeight="1" x14ac:dyDescent="0.25">
      <c r="E975" s="12"/>
      <c r="F975" s="13"/>
    </row>
    <row r="976" spans="5:6" ht="15.75" customHeight="1" x14ac:dyDescent="0.25">
      <c r="E976" s="12"/>
      <c r="F976" s="13"/>
    </row>
    <row r="977" spans="5:6" ht="15.75" customHeight="1" x14ac:dyDescent="0.25">
      <c r="E977" s="12"/>
      <c r="F977" s="13"/>
    </row>
    <row r="978" spans="5:6" ht="15.75" customHeight="1" x14ac:dyDescent="0.25">
      <c r="E978" s="12"/>
      <c r="F978" s="13"/>
    </row>
    <row r="979" spans="5:6" ht="15.75" customHeight="1" x14ac:dyDescent="0.25">
      <c r="E979" s="12"/>
      <c r="F979" s="13"/>
    </row>
    <row r="980" spans="5:6" ht="15.75" customHeight="1" x14ac:dyDescent="0.25">
      <c r="E980" s="12"/>
      <c r="F980" s="13"/>
    </row>
    <row r="981" spans="5:6" ht="15.75" customHeight="1" x14ac:dyDescent="0.25">
      <c r="E981" s="12"/>
      <c r="F981" s="13"/>
    </row>
    <row r="982" spans="5:6" ht="15.75" customHeight="1" x14ac:dyDescent="0.25">
      <c r="E982" s="12"/>
      <c r="F982" s="13"/>
    </row>
    <row r="983" spans="5:6" ht="15.75" customHeight="1" x14ac:dyDescent="0.25">
      <c r="E983" s="12"/>
      <c r="F983" s="13"/>
    </row>
    <row r="984" spans="5:6" ht="15.75" customHeight="1" x14ac:dyDescent="0.25">
      <c r="E984" s="12"/>
      <c r="F984" s="13"/>
    </row>
    <row r="985" spans="5:6" ht="15.75" customHeight="1" x14ac:dyDescent="0.25">
      <c r="E985" s="12"/>
      <c r="F985" s="13"/>
    </row>
    <row r="986" spans="5:6" ht="15.75" customHeight="1" x14ac:dyDescent="0.25">
      <c r="E986" s="12"/>
      <c r="F986" s="13"/>
    </row>
    <row r="987" spans="5:6" ht="15.75" customHeight="1" x14ac:dyDescent="0.25">
      <c r="E987" s="12"/>
      <c r="F987" s="13"/>
    </row>
    <row r="988" spans="5:6" ht="15.75" customHeight="1" x14ac:dyDescent="0.25">
      <c r="E988" s="12"/>
      <c r="F988" s="13"/>
    </row>
    <row r="989" spans="5:6" ht="15.75" customHeight="1" x14ac:dyDescent="0.25">
      <c r="E989" s="12"/>
      <c r="F989" s="13"/>
    </row>
    <row r="990" spans="5:6" ht="15.75" customHeight="1" x14ac:dyDescent="0.25">
      <c r="E990" s="12"/>
      <c r="F990" s="13"/>
    </row>
    <row r="991" spans="5:6" ht="15.75" customHeight="1" x14ac:dyDescent="0.25">
      <c r="E991" s="12"/>
      <c r="F991" s="13"/>
    </row>
    <row r="992" spans="5:6" ht="15.75" customHeight="1" x14ac:dyDescent="0.25">
      <c r="E992" s="12"/>
      <c r="F992" s="13"/>
    </row>
    <row r="993" spans="5:6" ht="15.75" customHeight="1" x14ac:dyDescent="0.25">
      <c r="E993" s="12"/>
      <c r="F993" s="13"/>
    </row>
    <row r="994" spans="5:6" ht="15.75" customHeight="1" x14ac:dyDescent="0.25">
      <c r="E994" s="12"/>
      <c r="F994" s="13"/>
    </row>
    <row r="995" spans="5:6" ht="15.75" customHeight="1" x14ac:dyDescent="0.25">
      <c r="E995" s="12"/>
      <c r="F995" s="13"/>
    </row>
    <row r="996" spans="5:6" ht="15.75" customHeight="1" x14ac:dyDescent="0.25">
      <c r="E996" s="12"/>
      <c r="F996" s="13"/>
    </row>
    <row r="997" spans="5:6" ht="15.75" customHeight="1" x14ac:dyDescent="0.25">
      <c r="E997" s="12"/>
      <c r="F997" s="13"/>
    </row>
    <row r="998" spans="5:6" ht="15.75" customHeight="1" x14ac:dyDescent="0.25">
      <c r="E998" s="12"/>
      <c r="F998" s="13"/>
    </row>
    <row r="999" spans="5:6" ht="15.75" customHeight="1" x14ac:dyDescent="0.25">
      <c r="E999" s="12"/>
      <c r="F999" s="13"/>
    </row>
    <row r="1000" spans="5:6" ht="15.75" customHeight="1" x14ac:dyDescent="0.25">
      <c r="E1000" s="12"/>
      <c r="F1000" s="13"/>
    </row>
    <row r="1001" spans="5:6" ht="15.75" customHeight="1" x14ac:dyDescent="0.25">
      <c r="E1001" s="12"/>
      <c r="F1001" s="13"/>
    </row>
  </sheetData>
  <mergeCells count="15">
    <mergeCell ref="A9:B9"/>
    <mergeCell ref="A10:B10"/>
    <mergeCell ref="A11:B11"/>
    <mergeCell ref="A1:K1"/>
    <mergeCell ref="A2:B2"/>
    <mergeCell ref="D2:E2"/>
    <mergeCell ref="A3:B3"/>
    <mergeCell ref="D3:E3"/>
    <mergeCell ref="A4:B4"/>
    <mergeCell ref="D4:E4"/>
    <mergeCell ref="A5:B5"/>
    <mergeCell ref="D5:G5"/>
    <mergeCell ref="A6:B6"/>
    <mergeCell ref="A7:B7"/>
    <mergeCell ref="A8:B8"/>
  </mergeCells>
  <pageMargins left="0.7" right="0.7" top="0.75" bottom="0.75" header="0" footer="0"/>
  <pageSetup orientation="portrait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B1" workbookViewId="0"/>
  </sheetViews>
  <sheetFormatPr defaultColWidth="14.42578125" defaultRowHeight="15" customHeight="1" x14ac:dyDescent="0.25"/>
  <cols>
    <col min="1" max="1" width="11.42578125" hidden="1" customWidth="1"/>
    <col min="2" max="2" width="3" customWidth="1"/>
    <col min="3" max="3" width="38.85546875" customWidth="1"/>
    <col min="4" max="4" width="16.85546875" customWidth="1"/>
    <col min="5" max="5" width="3.5703125" customWidth="1"/>
    <col min="6" max="6" width="38.85546875" customWidth="1"/>
    <col min="7" max="7" width="3" customWidth="1"/>
    <col min="8" max="26" width="11.42578125" customWidth="1"/>
  </cols>
  <sheetData>
    <row r="1" spans="1:7" ht="26.25" x14ac:dyDescent="0.4">
      <c r="B1" s="25"/>
      <c r="C1" s="26" t="s">
        <v>4</v>
      </c>
      <c r="D1" s="27" t="s">
        <v>82</v>
      </c>
      <c r="E1" s="27" t="s">
        <v>83</v>
      </c>
      <c r="F1" s="27" t="s">
        <v>24</v>
      </c>
    </row>
    <row r="2" spans="1:7" x14ac:dyDescent="0.25">
      <c r="A2" s="19" t="s">
        <v>84</v>
      </c>
      <c r="B2" s="28">
        <v>1</v>
      </c>
      <c r="C2" s="29" t="s">
        <v>85</v>
      </c>
      <c r="D2" s="28">
        <f t="shared" ref="D2:D5" ca="1" si="0">RAND()</f>
        <v>0.33742930433750751</v>
      </c>
      <c r="E2" s="28">
        <f t="shared" ref="E2:E5" ca="1" si="1">RANK(D2,$D$2:$D$5)+COUNTIF($D$2:D2,D2)-1</f>
        <v>3</v>
      </c>
      <c r="F2" s="28" t="str">
        <f ca="1">IF(E2=1,C2,IF(E2=2,C3,IF(E2=3,C4,IF(E2=4,C5,))))</f>
        <v>Carlos Guevara &amp; Arelis Lazala</v>
      </c>
    </row>
    <row r="3" spans="1:7" x14ac:dyDescent="0.25">
      <c r="A3" s="19" t="s">
        <v>86</v>
      </c>
      <c r="B3" s="28">
        <v>2</v>
      </c>
      <c r="C3" s="28" t="s">
        <v>87</v>
      </c>
      <c r="D3" s="28">
        <f t="shared" ca="1" si="0"/>
        <v>2.1791726515107301E-2</v>
      </c>
      <c r="E3" s="28">
        <f t="shared" ca="1" si="1"/>
        <v>4</v>
      </c>
      <c r="F3" s="28" t="str">
        <f ca="1">IF(E3=1,C2,IF(E3=2,C3,IF(E3=3,C4,IF(E3=4,C5,IF(E3=5,#REF!,IF(E3=6,#REF!,IF(E3=7,C6,IF(E3=8,C8,IF(E3=9,C9,IF(E3=10,#REF!,IF(E3=11,C10,IF(E3=12,#REF!,IF(E3=13,#REF!,IF(E3=14,C11,IF(E3=15,C17,IF(E3=16,C18,IF(E3=17,C19,IF(E3=18,C20,IF(E3=19,C21,)))))))))))))))))))</f>
        <v>Criseida Sánchez</v>
      </c>
    </row>
    <row r="4" spans="1:7" x14ac:dyDescent="0.25">
      <c r="A4" s="19" t="s">
        <v>88</v>
      </c>
      <c r="B4" s="28">
        <v>3</v>
      </c>
      <c r="C4" s="29" t="s">
        <v>89</v>
      </c>
      <c r="D4" s="28">
        <f t="shared" ca="1" si="0"/>
        <v>0.48233375885279217</v>
      </c>
      <c r="E4" s="28">
        <f t="shared" ca="1" si="1"/>
        <v>2</v>
      </c>
      <c r="F4" s="28" t="str">
        <f ca="1">IF(E4=1,C2,IF(E4=2,C3,IF(E4=3,C4,IF(E4=4,C5,IF(E4=5,#REF!,IF(E4=6,#REF!,IF(E4=7,C6,IF(E4=8,C8,IF(E4=9,C9,IF(E4=10,#REF!,IF(E4=11,C10,IF(E4=12,#REF!,IF(E4=13,#REF!,IF(E4=14,C11,IF(E4=15,C17,IF(E4=16,C18,IF(E4=17,C19,IF(E4=18,C20,IF(E4=19,C21,)))))))))))))))))))</f>
        <v>Edwin Garcia &amp; Sujey Padilla</v>
      </c>
    </row>
    <row r="5" spans="1:7" x14ac:dyDescent="0.25">
      <c r="A5" s="19">
        <v>7</v>
      </c>
      <c r="B5" s="28">
        <v>4</v>
      </c>
      <c r="C5" s="28" t="s">
        <v>51</v>
      </c>
      <c r="D5" s="28">
        <f t="shared" ca="1" si="0"/>
        <v>0.94746890346002266</v>
      </c>
      <c r="E5" s="28">
        <f t="shared" ca="1" si="1"/>
        <v>1</v>
      </c>
      <c r="F5" s="28" t="str">
        <f ca="1">IF(E5=1,C2,IF(E5=2,C3,IF(E5=3,C4,IF(E5=4,C5,IF(E5=5,#REF!,IF(E5=6,#REF!,IF(E5=7,C6,IF(E5=8,C8,IF(E5=9,C9,IF(E5=10,#REF!,IF(E5=11,C10,IF(E5=12,#REF!,IF(E5=13,#REF!,IF(E5=14,C11,IF(E5=15,C17,IF(E5=16,C18,IF(E5=17,C19,IF(E5=18,C20,IF(E5=19,C21,)))))))))))))))))))</f>
        <v>Miguel Rodriguez &amp; Rosa Morillo | Mery</v>
      </c>
    </row>
    <row r="7" spans="1:7" ht="26.25" x14ac:dyDescent="0.4">
      <c r="B7" s="30" t="s">
        <v>83</v>
      </c>
      <c r="C7" s="31" t="s">
        <v>90</v>
      </c>
      <c r="D7" s="27" t="s">
        <v>82</v>
      </c>
      <c r="E7" s="27" t="s">
        <v>83</v>
      </c>
      <c r="F7" s="27" t="s">
        <v>24</v>
      </c>
      <c r="G7" s="24"/>
    </row>
    <row r="8" spans="1:7" x14ac:dyDescent="0.25">
      <c r="A8" s="19" t="s">
        <v>91</v>
      </c>
      <c r="B8" s="28">
        <v>1</v>
      </c>
      <c r="C8" s="29" t="s">
        <v>92</v>
      </c>
      <c r="D8" s="25">
        <f t="shared" ref="D8:D15" ca="1" si="2">RAND()</f>
        <v>0.85414033938260314</v>
      </c>
      <c r="E8" s="25">
        <f t="shared" ref="E8:E15" ca="1" si="3">RANK(D8,$D$8:$D$15)+COUNTIF($D$8:D8,D8)-1</f>
        <v>2</v>
      </c>
      <c r="F8" s="25" t="str">
        <f ca="1">IF(E8=1,C8,IF(E8=2,C9,IF(E8=3,C10,IF(E8=4,C11,IF(E8=5,C12,IF(E8=6,C13,IF(E8=7,C14,IF(E8=8,C15))))))))</f>
        <v>Angel Gabriel &amp; Yulissa Peña</v>
      </c>
      <c r="G8" s="24"/>
    </row>
    <row r="9" spans="1:7" x14ac:dyDescent="0.25">
      <c r="A9" s="19" t="s">
        <v>93</v>
      </c>
      <c r="B9" s="28">
        <v>2</v>
      </c>
      <c r="C9" s="28" t="s">
        <v>94</v>
      </c>
      <c r="D9" s="25">
        <f t="shared" ca="1" si="2"/>
        <v>0.36308837576929953</v>
      </c>
      <c r="E9" s="25">
        <f t="shared" ca="1" si="3"/>
        <v>5</v>
      </c>
      <c r="F9" s="25" t="str">
        <f ca="1">IF(E9=1,C8,IF(E9=2,C9,IF(E9=3,C10,IF(E9=4,C11,IF(E9=5,C12,IF(E9=6,C13,IF(E9=7,C14,IF(E9=8,C15))))))))</f>
        <v>Dionis Alcantara &amp; Ana Yulis</v>
      </c>
      <c r="G9" s="24"/>
    </row>
    <row r="10" spans="1:7" x14ac:dyDescent="0.25">
      <c r="A10" s="19" t="s">
        <v>95</v>
      </c>
      <c r="B10" s="28">
        <v>3</v>
      </c>
      <c r="C10" s="29" t="s">
        <v>96</v>
      </c>
      <c r="D10" s="25">
        <f t="shared" ca="1" si="2"/>
        <v>0.79061469804594808</v>
      </c>
      <c r="E10" s="25">
        <f t="shared" ca="1" si="3"/>
        <v>3</v>
      </c>
      <c r="F10" s="25" t="str">
        <f ca="1">IF(E10=1,C8,IF(E10=2,C9,IF(E10=3,C10,IF(E10=4,C11,IF(E10=5,C12,IF(E10=6,C13,IF(E10=7,C14,IF(E10=8,C15))))))))</f>
        <v>Carlos David &amp; Rosa Dominguez</v>
      </c>
      <c r="G10" s="24"/>
    </row>
    <row r="11" spans="1:7" x14ac:dyDescent="0.25">
      <c r="A11" s="19" t="s">
        <v>97</v>
      </c>
      <c r="B11" s="28">
        <v>4</v>
      </c>
      <c r="C11" s="28" t="s">
        <v>98</v>
      </c>
      <c r="D11" s="25">
        <f t="shared" ca="1" si="2"/>
        <v>8.25040490720097E-2</v>
      </c>
      <c r="E11" s="25">
        <f t="shared" ca="1" si="3"/>
        <v>8</v>
      </c>
      <c r="F11" s="25" t="str">
        <f ca="1">IF(E11=1,C8,IF(E11=2,C9,IF(E11=3,C10,IF(E11=4,C11,IF(E11=5,C12,IF(E11=6,C13,IF(E11=7,C14,IF(E11=8,C15))))))))</f>
        <v>Mario de la Cruz &amp; Victoria Vasquez</v>
      </c>
      <c r="G11" s="24"/>
    </row>
    <row r="12" spans="1:7" x14ac:dyDescent="0.25">
      <c r="B12" s="28">
        <v>5</v>
      </c>
      <c r="C12" s="29" t="s">
        <v>99</v>
      </c>
      <c r="D12" s="25">
        <f t="shared" ca="1" si="2"/>
        <v>0.94171703481720792</v>
      </c>
      <c r="E12" s="25">
        <f t="shared" ca="1" si="3"/>
        <v>1</v>
      </c>
      <c r="F12" s="25" t="str">
        <f ca="1">IF(E12=1,C8,IF(E12=2,C9,IF(E12=3,C10,IF(E12=4,C11,IF(E12=5,C12,IF(E12=6,C13,IF(E12=7,C14,IF(E12=8,C15))))))))</f>
        <v>Alejandro Flaz &amp; Natalia García</v>
      </c>
      <c r="G12" s="24"/>
    </row>
    <row r="13" spans="1:7" x14ac:dyDescent="0.25">
      <c r="B13" s="28">
        <v>6</v>
      </c>
      <c r="C13" s="28" t="s">
        <v>100</v>
      </c>
      <c r="D13" s="25">
        <f t="shared" ca="1" si="2"/>
        <v>0.31951118320568306</v>
      </c>
      <c r="E13" s="25">
        <f t="shared" ca="1" si="3"/>
        <v>6</v>
      </c>
      <c r="F13" s="25" t="str">
        <f ca="1">IF(E13=1,C8,IF(E13=2,C9,IF(E13=3,C10,IF(E13=4,C11,IF(E13=5,C12,IF(E13=6,C13,IF(E13=7,C14,IF(E13=8,C15))))))))</f>
        <v>Juan Isidro &amp; Sindy Núñez</v>
      </c>
      <c r="G13" s="24"/>
    </row>
    <row r="14" spans="1:7" x14ac:dyDescent="0.25">
      <c r="B14" s="28">
        <v>7</v>
      </c>
      <c r="C14" s="29" t="s">
        <v>101</v>
      </c>
      <c r="D14" s="25">
        <f t="shared" ca="1" si="2"/>
        <v>0.23801912010888071</v>
      </c>
      <c r="E14" s="25">
        <f t="shared" ca="1" si="3"/>
        <v>7</v>
      </c>
      <c r="F14" s="25" t="str">
        <f ca="1">IF(E14=1,C8,IF(E14=2,C9,IF(E14=3,C10,IF(E14=4,C11,IF(E14=5,C12,IF(E14=6,C13,IF(E14=7,C14,IF(E14=8,C15))))))))</f>
        <v>Marcos Ventura &amp; Pilar Calcaño</v>
      </c>
      <c r="G14" s="24"/>
    </row>
    <row r="15" spans="1:7" x14ac:dyDescent="0.25">
      <c r="A15" s="19" t="s">
        <v>102</v>
      </c>
      <c r="B15" s="28">
        <v>8</v>
      </c>
      <c r="C15" s="28" t="s">
        <v>103</v>
      </c>
      <c r="D15" s="25">
        <f t="shared" ca="1" si="2"/>
        <v>0.74902620051762059</v>
      </c>
      <c r="E15" s="25">
        <f t="shared" ca="1" si="3"/>
        <v>4</v>
      </c>
      <c r="F15" s="25" t="str">
        <f ca="1">IF(E15=1,C8,IF(E15=2,C9,IF(E15=3,C10,IF(E15=4,C11,IF(E15=5,C12,IF(E15=6,C13,IF(E15=7,C14,IF(E15=8,C15))))))))</f>
        <v>Daniel Gonzalez &amp; Winny Lora</v>
      </c>
      <c r="G15" s="24"/>
    </row>
    <row r="16" spans="1:7" x14ac:dyDescent="0.25">
      <c r="G16" s="24"/>
    </row>
    <row r="17" spans="1:7" ht="26.25" x14ac:dyDescent="0.4">
      <c r="B17" s="25" t="s">
        <v>83</v>
      </c>
      <c r="C17" s="27" t="s">
        <v>25</v>
      </c>
      <c r="D17" s="27" t="s">
        <v>82</v>
      </c>
      <c r="E17" s="27" t="s">
        <v>83</v>
      </c>
      <c r="F17" s="27" t="s">
        <v>24</v>
      </c>
      <c r="G17" s="24"/>
    </row>
    <row r="18" spans="1:7" x14ac:dyDescent="0.25">
      <c r="A18" s="19">
        <v>18</v>
      </c>
      <c r="B18" s="28">
        <v>1</v>
      </c>
      <c r="C18" s="28" t="s">
        <v>34</v>
      </c>
      <c r="D18" s="25">
        <f t="shared" ref="D18:D40" ca="1" si="4">RAND()</f>
        <v>7.1221019171688327E-2</v>
      </c>
      <c r="E18" s="25">
        <f t="shared" ref="E18:E40" ca="1" si="5">RANK(D18,$D$18:$D$40)+COUNTIF($D$18:D18,D18)-1</f>
        <v>21</v>
      </c>
      <c r="F18" s="25" t="str">
        <f ca="1">IF(E18=1,C18,IF(E18=2,C19,IF(E18=3,C20,IF(E18=4,C21,IF(E18=5,C22,IF(E18=6,C23,IF(E18=7,C24,IF(E18=8,C25,IF(E18=9,C26,IF(E18=10,C27,IF(E18=11,C28,IF(E18=12,C29,IF(E18=13,C30,IF(E18=14,C31,IF(E18=15,C32,IF(E18=16,C33,IF(E18=17,C34,IF(E18=18,C35,IF(E18=19,C36,IF(E18=20,C37,IF(E18=21,C38,IF(E18=22,C39,IF(E18=23,C40)))))))))))))))))))))))</f>
        <v>Ruth Divina Alcantara Arias</v>
      </c>
      <c r="G18" s="24"/>
    </row>
    <row r="19" spans="1:7" x14ac:dyDescent="0.25">
      <c r="A19" s="19">
        <v>19</v>
      </c>
      <c r="B19" s="28">
        <v>2</v>
      </c>
      <c r="C19" s="29" t="s">
        <v>41</v>
      </c>
      <c r="D19" s="25">
        <f t="shared" ca="1" si="4"/>
        <v>7.1610919444658583E-2</v>
      </c>
      <c r="E19" s="25">
        <f t="shared" ca="1" si="5"/>
        <v>20</v>
      </c>
      <c r="F19" s="25" t="str">
        <f ca="1">IF(E19=1,C18,IF(E19=2,C19,IF(E19=3,C20,IF(E19=4,C21,IF(E19=5,C22,IF(E19=6,C23,IF(E19=7,C24,IF(E19=8,C25,IF(E19=9,C26,IF(E19=10,C27,IF(E19=11,C28,IF(E19=12,C29,IF(E19=13,C30,IF(E19=14,C31,IF(E19=15,C32,IF(E19=16,C33,IF(E19=17,C34,IF(E19=18,C35,IF(E19=19,C36,IF(E19=20,C37,IF(E19=21,C38,IF(E19=22,C39,IF(E19=23,C40)))))))))))))))))))))))</f>
        <v>Rosa Oliva Sánchez Arias</v>
      </c>
      <c r="G19" s="24"/>
    </row>
    <row r="20" spans="1:7" x14ac:dyDescent="0.25">
      <c r="A20" s="19">
        <v>20</v>
      </c>
      <c r="B20" s="28">
        <v>3</v>
      </c>
      <c r="C20" s="28" t="s">
        <v>36</v>
      </c>
      <c r="D20" s="25">
        <f t="shared" ca="1" si="4"/>
        <v>0.14464275437196372</v>
      </c>
      <c r="E20" s="25">
        <f t="shared" ca="1" si="5"/>
        <v>18</v>
      </c>
      <c r="F20" s="25" t="str">
        <f ca="1">IF(E20=1,C18,IF(E20=2,C19,IF(E20=3,C20,IF(E20=4,C21,IF(E20=5,C22,IF(E20=6,C23,IF(E20=7,C24,IF(E20=8,C25,IF(E20=9,C26,IF(E20=10,C27,IF(E20=11,C28,IF(E20=12,C29,IF(E20=13,C30,IF(E20=14,C31,IF(E20=15,C32,IF(E20=16,C33,IF(E20=17,C34,IF(E20=18,C35,IF(E20=19,C36,IF(E20=20,C37,IF(E20=21,C38,IF(E20=22,C39,IF(E20=23,C40)))))))))))))))))))))))</f>
        <v>Luz Alexa Maria Sanchez</v>
      </c>
      <c r="G20" s="24"/>
    </row>
    <row r="21" spans="1:7" ht="15.75" customHeight="1" x14ac:dyDescent="0.25">
      <c r="A21" s="19">
        <v>21</v>
      </c>
      <c r="B21" s="28">
        <v>4</v>
      </c>
      <c r="C21" s="29" t="s">
        <v>44</v>
      </c>
      <c r="D21" s="25">
        <f t="shared" ca="1" si="4"/>
        <v>0.53944606022663166</v>
      </c>
      <c r="E21" s="25">
        <f t="shared" ca="1" si="5"/>
        <v>11</v>
      </c>
      <c r="F21" s="25" t="str">
        <f ca="1">IF(E21=1,C18,IF(E21=2,C19,IF(E21=3,C20,IF(E21=4,C21,IF(E21=5,C22,IF(E21=6,C23,IF(E21=7,C24,IF(E21=8,C25,IF(E21=9,C26,IF(E21=10,C27,IF(E21=11,C28,IF(E21=12,C29,IF(E21=13,C30,IF(E21=14,C31,IF(E21=15,C32,IF(E21=16,C33,IF(E21=17,C34,IF(E21=18,C35,IF(E21=19,C36,IF(E21=20,C37,IF(E21=21,C38,IF(E21=22,C39,IF(E21=23,C40)))))))))))))))))))))))</f>
        <v>Enmanuel Gonzalez María</v>
      </c>
      <c r="G21" s="24"/>
    </row>
    <row r="22" spans="1:7" ht="15.75" customHeight="1" x14ac:dyDescent="0.25">
      <c r="A22" s="19">
        <v>22</v>
      </c>
      <c r="B22" s="28">
        <v>5</v>
      </c>
      <c r="C22" s="28" t="s">
        <v>48</v>
      </c>
      <c r="D22" s="25">
        <f t="shared" ca="1" si="4"/>
        <v>0.61475767810809934</v>
      </c>
      <c r="E22" s="25">
        <f t="shared" ca="1" si="5"/>
        <v>8</v>
      </c>
      <c r="F22" s="25" t="str">
        <f ca="1">IF(E22=1,C18,IF(E22=2,C19,IF(E22=3,C20,IF(E22=4,C21,IF(E22=5,C22,IF(E22=6,C23,IF(E22=7,C24,IF(E22=8,C25,IF(E22=9,C26,IF(E22=10,C27,IF(E22=11,C28,IF(E22=12,C29,IF(E22=13,C30,IF(E22=14,C31,IF(E22=15,C32,IF(E22=16,C33,IF(E22=17,C34,IF(E22=18,C35,IF(E22=19,C36,IF(E22=20,C37,IF(E22=21,C38,IF(E22=22,C39,IF(E22=23,C40)))))))))))))))))))))))</f>
        <v>Daysi Francisca Garcia Vasquez</v>
      </c>
      <c r="G22" s="24"/>
    </row>
    <row r="23" spans="1:7" ht="15.75" customHeight="1" x14ac:dyDescent="0.25">
      <c r="A23" s="19">
        <v>23</v>
      </c>
      <c r="B23" s="28">
        <v>6</v>
      </c>
      <c r="C23" s="29" t="s">
        <v>49</v>
      </c>
      <c r="D23" s="25">
        <f t="shared" ca="1" si="4"/>
        <v>0.31016650980107607</v>
      </c>
      <c r="E23" s="25">
        <f t="shared" ca="1" si="5"/>
        <v>14</v>
      </c>
      <c r="F23" s="25" t="str">
        <f ca="1">IF(E23=1,C18,IF(E23=2,C19,IF(E23=3,C20,IF(E23=4,C21,IF(E23=5,C22,IF(E23=6,C23,IF(E23=7,C24,IF(E23=8,C25,IF(E23=9,C26,IF(E23=10,C27,IF(E23=11,C28,IF(E23=12,C29,IF(E23=13,C30,IF(E23=14,C31,IF(E23=15,C32,IF(E23=16,C33,IF(E23=17,C34,IF(E23=18,C35,IF(E23=19,C36,IF(E23=20,C37,IF(E23=21,C38,IF(E23=22,C39,IF(E23=23,C40)))))))))))))))))))))))</f>
        <v>Hermes Moises Aibar Pontier</v>
      </c>
      <c r="G23" s="24"/>
    </row>
    <row r="24" spans="1:7" ht="15.75" customHeight="1" x14ac:dyDescent="0.25">
      <c r="A24" s="19">
        <v>24</v>
      </c>
      <c r="B24" s="28">
        <v>7</v>
      </c>
      <c r="C24" s="28" t="s">
        <v>50</v>
      </c>
      <c r="D24" s="25">
        <f t="shared" ca="1" si="4"/>
        <v>9.5794564683382655E-2</v>
      </c>
      <c r="E24" s="25">
        <f t="shared" ca="1" si="5"/>
        <v>19</v>
      </c>
      <c r="F24" s="25" t="str">
        <f ca="1">IF(E24=1,C18,IF(E24=2,C19,IF(E24=3,C20,IF(E24=4,C21,IF(E24=5,C22,IF(E24=6,C23,IF(E24=7,C24,IF(E24=8,C25,IF(E24=9,C26,IF(E24=10,C27,IF(E24=11,C28,IF(E24=12,C29,IF(E24=13,C30,IF(E24=14,C31,IF(E24=15,C32,IF(E24=16,C33,IF(E24=17,C34,IF(E24=18,C35,IF(E24=19,C36,IF(E24=20,C37,IF(E24=21,C38,IF(E24=22,C39,IF(E24=23,C40)))))))))))))))))))))))</f>
        <v>Maria Dolores de la Cruz Solano</v>
      </c>
      <c r="G24" s="24"/>
    </row>
    <row r="25" spans="1:7" ht="15.75" customHeight="1" x14ac:dyDescent="0.25">
      <c r="A25" s="19">
        <v>25</v>
      </c>
      <c r="B25" s="28">
        <v>8</v>
      </c>
      <c r="C25" s="29" t="s">
        <v>53</v>
      </c>
      <c r="D25" s="25">
        <f t="shared" ca="1" si="4"/>
        <v>0.67792734873828631</v>
      </c>
      <c r="E25" s="25">
        <f t="shared" ca="1" si="5"/>
        <v>4</v>
      </c>
      <c r="F25" s="25" t="str">
        <f ca="1">IF(E25=1,C18,IF(E25=2,C19,IF(E25=3,C20,IF(E25=4,C21,IF(E25=5,C22,IF(E25=6,C23,IF(E25=7,C24,IF(E25=8,C25,IF(E25=9,C26,IF(E25=10,C27,IF(E25=11,C28,IF(E25=12,C29,IF(E25=13,C30,IF(E25=14,C31,IF(E25=15,C32,IF(E25=16,C33,IF(E25=17,C34,IF(E25=18,C35,IF(E25=19,C36,IF(E25=20,C37,IF(E25=21,C38,IF(E25=22,C39,IF(E25=23,C40)))))))))))))))))))))))</f>
        <v>Antonia Polanco P.</v>
      </c>
      <c r="G25" s="24"/>
    </row>
    <row r="26" spans="1:7" ht="15.75" customHeight="1" x14ac:dyDescent="0.25">
      <c r="A26" s="19">
        <v>26</v>
      </c>
      <c r="B26" s="28">
        <v>9</v>
      </c>
      <c r="C26" s="28" t="s">
        <v>57</v>
      </c>
      <c r="D26" s="25">
        <f t="shared" ca="1" si="4"/>
        <v>0.37857455210201341</v>
      </c>
      <c r="E26" s="25">
        <f t="shared" ca="1" si="5"/>
        <v>13</v>
      </c>
      <c r="F26" s="25" t="str">
        <f ca="1">IF(E26=1,C18,IF(E26=2,C19,IF(E26=3,C20,IF(E26=4,C21,IF(E26=5,C22,IF(E26=6,C23,IF(E26=7,C24,IF(E26=8,C25,IF(E26=9,C26,IF(E26=10,C27,IF(E26=11,C28,IF(E26=12,C29,IF(E26=13,C30,IF(E26=14,C31,IF(E26=15,C32,IF(E26=16,C33,IF(E26=17,C34,IF(E26=18,C35,IF(E26=19,C36,IF(E26=20,C37,IF(E26=21,C38,IF(E26=22,C39,IF(E26=23,C40)))))))))))))))))))))))</f>
        <v>Gisela Antonia Gil</v>
      </c>
      <c r="G26" s="24"/>
    </row>
    <row r="27" spans="1:7" ht="15.75" customHeight="1" x14ac:dyDescent="0.25">
      <c r="A27" s="19">
        <v>27</v>
      </c>
      <c r="B27" s="28">
        <v>10</v>
      </c>
      <c r="C27" s="29" t="s">
        <v>58</v>
      </c>
      <c r="D27" s="25">
        <f t="shared" ca="1" si="4"/>
        <v>4.1267777166886788E-2</v>
      </c>
      <c r="E27" s="25">
        <f t="shared" ca="1" si="5"/>
        <v>23</v>
      </c>
      <c r="F27" s="25" t="str">
        <f ca="1">IF(E27=1,C18,IF(E27=2,C19,IF(E27=3,C20,IF(E27=4,C21,IF(E27=5,C22,IF(E27=6,C23,IF(E27=7,C24,IF(E27=8,C25,IF(E27=9,C26,IF(E27=10,C27,IF(E27=11,C28,IF(E27=12,C29,IF(E27=13,C30,IF(E27=14,C31,IF(E27=15,C32,IF(E27=16,C33,IF(E27=17,C34,IF(E27=18,C35,IF(E27=19,C36,IF(E27=20,C37,IF(E27=21,C38,IF(E27=22,C39,IF(E27=23,C40)))))))))))))))))))))))</f>
        <v>Virginia Carolina</v>
      </c>
      <c r="G27" s="24"/>
    </row>
    <row r="28" spans="1:7" ht="15.75" customHeight="1" x14ac:dyDescent="0.25">
      <c r="B28" s="28">
        <v>11</v>
      </c>
      <c r="C28" s="25" t="s">
        <v>59</v>
      </c>
      <c r="D28" s="25">
        <f t="shared" ca="1" si="4"/>
        <v>0.81286373709094406</v>
      </c>
      <c r="E28" s="25">
        <f t="shared" ca="1" si="5"/>
        <v>2</v>
      </c>
      <c r="F28" s="25" t="str">
        <f ca="1">IF(E28=1,C18,IF(E28=2,C19,IF(E28=3,C20,IF(E28=4,C21,IF(E28=5,C22,IF(E28=6,C23,IF(E28=7,C24,IF(E28=8,C25,IF(E28=9,C26,IF(E28=10,C27,IF(E28=11,C28,IF(E28=12,C29,IF(E28=13,C30,IF(E28=14,C31,IF(E28=15,C32,IF(E28=16,C33,IF(E28=17,C34,IF(E28=18,C35,IF(E28=19,C36,IF(E28=20,C37,IF(E28=21,C38,IF(E28=22,C39,IF(E28=23,C40)))))))))))))))))))))))</f>
        <v>Angel Jeremias Florentino de Paula</v>
      </c>
      <c r="G28" s="24"/>
    </row>
    <row r="29" spans="1:7" ht="15.75" customHeight="1" x14ac:dyDescent="0.25">
      <c r="B29" s="28">
        <v>12</v>
      </c>
      <c r="C29" s="29" t="s">
        <v>38</v>
      </c>
      <c r="D29" s="25">
        <f t="shared" ca="1" si="4"/>
        <v>0.29988945400315836</v>
      </c>
      <c r="E29" s="25">
        <f t="shared" ca="1" si="5"/>
        <v>15</v>
      </c>
      <c r="F29" s="25" t="str">
        <f ca="1">IF(E29=1,C18,IF(E29=2,C19,IF(E29=3,C20,IF(E29=4,C21,IF(E29=5,C22,IF(E29=6,C23,IF(E29=7,C24,IF(E29=8,C25,IF(E29=9,C26,IF(E29=10,C27,IF(E29=11,C28,IF(E29=12,C29,IF(E29=13,C30,IF(E29=14,C31,IF(E29=15,C32,IF(E29=16,C33,IF(E29=17,C34,IF(E29=18,C35,IF(E29=19,C36,IF(E29=20,C37,IF(E29=21,C38,IF(E29=22,C39,IF(E29=23,C40)))))))))))))))))))))))</f>
        <v>Isabel Concepción</v>
      </c>
    </row>
    <row r="30" spans="1:7" ht="15.75" customHeight="1" x14ac:dyDescent="0.25">
      <c r="B30" s="28">
        <v>13</v>
      </c>
      <c r="C30" s="25" t="s">
        <v>60</v>
      </c>
      <c r="D30" s="25">
        <f t="shared" ca="1" si="4"/>
        <v>0.28884799990878052</v>
      </c>
      <c r="E30" s="25">
        <f t="shared" ca="1" si="5"/>
        <v>16</v>
      </c>
      <c r="F30" s="25" t="str">
        <f ca="1">IF(E30=1,C18,IF(E30=2,C19,IF(E30=3,C20,IF(E30=4,C21,IF(E30=5,C22,IF(E30=6,C23,IF(E30=7,C24,IF(E30=8,C25,IF(E30=9,C26,IF(E30=10,C27,IF(E30=11,C28,IF(E30=12,C29,IF(E30=13,C30,IF(E30=14,C31,IF(E30=15,C32,IF(E30=16,C33,IF(E30=17,C34,IF(E30=18,C35,IF(E30=19,C36,IF(E30=20,C37,IF(E30=21,C38,IF(E30=22,C39,IF(E30=23,C40)))))))))))))))))))))))</f>
        <v>José Miraye</v>
      </c>
    </row>
    <row r="31" spans="1:7" ht="15.75" customHeight="1" x14ac:dyDescent="0.25">
      <c r="B31" s="28">
        <v>14</v>
      </c>
      <c r="C31" s="29" t="s">
        <v>61</v>
      </c>
      <c r="D31" s="25">
        <f t="shared" ca="1" si="4"/>
        <v>0.87612815618227924</v>
      </c>
      <c r="E31" s="25">
        <f t="shared" ca="1" si="5"/>
        <v>1</v>
      </c>
      <c r="F31" s="25" t="str">
        <f ca="1">IF(E31=1,C18,IF(E31=2,C19,IF(E31=3,C20,IF(E31=4,C21,IF(E31=5,C22,IF(E31=6,C23,IF(E31=7,C24,IF(E31=8,C25,IF(E31=9,C26,IF(E31=10,C27,IF(E31=11,C28,IF(E31=12,C29,IF(E31=13,C30,IF(E31=14,C31,IF(E31=15,C32,IF(E31=16,C33,IF(E31=17,C34,IF(E31=18,C35,IF(E31=19,C36,IF(E31=20,C37,IF(E31=21,C38,IF(E31=22,C39,IF(E31=23,C40)))))))))))))))))))))))</f>
        <v>Altagracia Vitello Guzman</v>
      </c>
    </row>
    <row r="32" spans="1:7" ht="15.75" customHeight="1" x14ac:dyDescent="0.25">
      <c r="B32" s="28">
        <v>15</v>
      </c>
      <c r="C32" s="25" t="s">
        <v>42</v>
      </c>
      <c r="D32" s="25">
        <f t="shared" ca="1" si="4"/>
        <v>0.7078627353000625</v>
      </c>
      <c r="E32" s="25">
        <f t="shared" ca="1" si="5"/>
        <v>3</v>
      </c>
      <c r="F32" s="25" t="str">
        <f ca="1">IF(E32=1,C18,IF(E32=2,C19,IF(E32=3,C20,IF(E32=4,C21,IF(E32=5,C22,IF(E32=6,C23,IF(E32=7,C24,IF(E32=8,C25,IF(E32=9,C26,IF(E32=10,C27,IF(E32=11,C28,IF(E32=12,C29,IF(E32=13,C30,IF(E32=14,C31,IF(E32=15,C32,IF(E32=16,C33,IF(E32=17,C34,IF(E32=18,C35,IF(E32=19,C36,IF(E32=20,C37,IF(E32=21,C38,IF(E32=22,C39,IF(E32=23,C40)))))))))))))))))))))))</f>
        <v>Angela George</v>
      </c>
    </row>
    <row r="33" spans="2:6" ht="15.75" customHeight="1" x14ac:dyDescent="0.25">
      <c r="B33" s="28">
        <v>16</v>
      </c>
      <c r="C33" s="32" t="s">
        <v>62</v>
      </c>
      <c r="D33" s="25">
        <f t="shared" ca="1" si="4"/>
        <v>0.58399677260727012</v>
      </c>
      <c r="E33" s="25">
        <f t="shared" ca="1" si="5"/>
        <v>10</v>
      </c>
      <c r="F33" s="25" t="str">
        <f ca="1">IF(E33=1,C18,IF(E33=2,C19,IF(E33=3,C20,IF(E33=4,C21,IF(E33=5,C22,IF(E33=6,C23,IF(E33=7,C24,IF(E33=8,C25,IF(E33=9,C26,IF(E33=10,C27,IF(E33=11,C28,IF(E33=12,C29,IF(E33=13,C30,IF(E33=14,C31,IF(E33=15,C32,IF(E33=16,C33,IF(E33=17,C34,IF(E33=18,C35,IF(E33=19,C36,IF(E33=20,C37,IF(E33=21,C38,IF(E33=22,C39,IF(E33=23,C40)))))))))))))))))))))))</f>
        <v>Elimar Alvarez</v>
      </c>
    </row>
    <row r="34" spans="2:6" ht="15.75" customHeight="1" x14ac:dyDescent="0.25">
      <c r="B34" s="28">
        <v>17</v>
      </c>
      <c r="C34" s="25" t="s">
        <v>64</v>
      </c>
      <c r="D34" s="25">
        <f t="shared" ca="1" si="4"/>
        <v>0.61906048028164362</v>
      </c>
      <c r="E34" s="25">
        <f t="shared" ca="1" si="5"/>
        <v>7</v>
      </c>
      <c r="F34" s="25" t="str">
        <f ca="1">IF(E34=1,C18,IF(E34=2,C19,IF(E34=3,C20,IF(E34=4,C21,IF(E34=5,C22,IF(E34=6,C23,IF(E34=7,C24,IF(E34=8,C25,IF(E34=9,C26,IF(E34=10,C27,IF(E34=11,C28,IF(E34=12,C29,IF(E34=13,C30,IF(E34=14,C31,IF(E34=15,C32,IF(E34=16,C33,IF(E34=17,C34,IF(E34=18,C35,IF(E34=19,C36,IF(E34=20,C37,IF(E34=21,C38,IF(E34=22,C39,IF(E34=23,C40)))))))))))))))))))))))</f>
        <v>Corina Altagracia Sosa</v>
      </c>
    </row>
    <row r="35" spans="2:6" ht="15.75" customHeight="1" x14ac:dyDescent="0.25">
      <c r="B35" s="28">
        <v>18</v>
      </c>
      <c r="C35" s="32" t="s">
        <v>65</v>
      </c>
      <c r="D35" s="25">
        <f t="shared" ca="1" si="4"/>
        <v>0.59815100445013336</v>
      </c>
      <c r="E35" s="25">
        <f t="shared" ca="1" si="5"/>
        <v>9</v>
      </c>
      <c r="F35" s="25" t="str">
        <f ca="1">IF(E35=1,C18,IF(E35=2,C19,IF(E35=3,C20,IF(E35=4,C21,IF(E35=5,C22,IF(E35=6,C23,IF(E35=7,C24,IF(E35=8,C25,IF(E35=9,C26,IF(E35=10,C27,IF(E35=11,C28,IF(E35=12,C29,IF(E35=13,C30,IF(E35=14,C31,IF(E35=15,C32,IF(E35=16,C33,IF(E35=17,C34,IF(E35=18,C35,IF(E35=19,C36,IF(E35=20,C37,IF(E35=21,C38,IF(E35=22,C39,IF(E35=23,C40)))))))))))))))))))))))</f>
        <v>Eliezer Paniagua</v>
      </c>
    </row>
    <row r="36" spans="2:6" ht="15.75" customHeight="1" x14ac:dyDescent="0.25">
      <c r="B36" s="28">
        <v>19</v>
      </c>
      <c r="C36" s="25" t="s">
        <v>40</v>
      </c>
      <c r="D36" s="25">
        <f t="shared" ca="1" si="4"/>
        <v>0.45273671948854588</v>
      </c>
      <c r="E36" s="25">
        <f t="shared" ca="1" si="5"/>
        <v>12</v>
      </c>
      <c r="F36" s="25" t="str">
        <f ca="1">IF(E36=1,C18,IF(E36=2,C19,IF(E36=3,C20,IF(E36=4,C21,IF(E36=5,C22,IF(E36=6,C23,IF(E36=7,C24,IF(E36=8,C25,IF(E36=9,C26,IF(E36=10,C27,IF(E36=11,C28,IF(E36=12,C29,IF(E36=13,C30,IF(E36=14,C31,IF(E36=15,C32,IF(E36=16,C33,IF(E36=17,C34,IF(E36=18,C35,IF(E36=19,C36,IF(E36=20,C37,IF(E36=21,C38,IF(E36=22,C39,IF(E36=23,C40)))))))))))))))))))))))</f>
        <v>Euridisis Encarnación Reyes</v>
      </c>
    </row>
    <row r="37" spans="2:6" ht="15.75" customHeight="1" x14ac:dyDescent="0.25">
      <c r="B37" s="28">
        <v>20</v>
      </c>
      <c r="C37" s="32" t="s">
        <v>74</v>
      </c>
      <c r="D37" s="25">
        <f t="shared" ca="1" si="4"/>
        <v>6.9210414203981441E-2</v>
      </c>
      <c r="E37" s="25">
        <f t="shared" ca="1" si="5"/>
        <v>22</v>
      </c>
      <c r="F37" s="25" t="str">
        <f ca="1">IF(E37=1,C18,IF(E37=2,C19,IF(E37=3,C20,IF(E37=4,C21,IF(E37=5,C22,IF(E37=6,C23,IF(E37=7,C24,IF(E37=8,C25,IF(E37=9,C26,IF(E37=10,C27,IF(E37=11,C28,IF(E37=12,C29,IF(E37=13,C30,IF(E37=14,C31,IF(E37=15,C32,IF(E37=16,C33,IF(E37=17,C34,IF(E37=18,C35,IF(E37=19,C36,IF(E37=20,C37,IF(E37=21,C38,IF(E37=22,C39,IF(E37=23,C40)))))))))))))))))))))))</f>
        <v>Ruth Nathalie Veras Acosta</v>
      </c>
    </row>
    <row r="38" spans="2:6" ht="15.75" customHeight="1" x14ac:dyDescent="0.25">
      <c r="B38" s="28">
        <v>21</v>
      </c>
      <c r="C38" s="25" t="s">
        <v>75</v>
      </c>
      <c r="D38" s="25">
        <f t="shared" ca="1" si="4"/>
        <v>0.64624010759298955</v>
      </c>
      <c r="E38" s="25">
        <f t="shared" ca="1" si="5"/>
        <v>5</v>
      </c>
      <c r="F38" s="25" t="str">
        <f ca="1">IF(E38=1,C18,IF(E38=2,C19,IF(E38=3,C20,IF(E38=4,C21,IF(E38=5,C22,IF(E38=6,C23,IF(E38=7,C24,IF(E38=8,C25,IF(E38=9,C26,IF(E38=10,C27,IF(E38=11,C28,IF(E38=12,C29,IF(E38=13,C30,IF(E38=14,C31,IF(E38=15,C32,IF(E38=16,C33,IF(E38=17,C34,IF(E38=18,C35,IF(E38=19,C36,IF(E38=20,C37,IF(E38=21,C38,IF(E38=22,C39,IF(E38=23,C40)))))))))))))))))))))))</f>
        <v>Carmen Herminia Hernandez</v>
      </c>
    </row>
    <row r="39" spans="2:6" ht="15.75" customHeight="1" x14ac:dyDescent="0.25">
      <c r="B39" s="28">
        <v>22</v>
      </c>
      <c r="C39" s="32" t="s">
        <v>76</v>
      </c>
      <c r="D39" s="25">
        <f t="shared" ca="1" si="4"/>
        <v>0.63049902573884253</v>
      </c>
      <c r="E39" s="25">
        <f t="shared" ca="1" si="5"/>
        <v>6</v>
      </c>
      <c r="F39" s="25" t="str">
        <f ca="1">IF(E39=1,C18,IF(E39=2,C19,IF(E39=3,C20,IF(E39=4,C21,IF(E39=5,C22,IF(E39=6,C23,IF(E39=7,C24,IF(E39=8,C25,IF(E39=9,C26,IF(E39=10,C27,IF(E39=11,C28,IF(E39=12,C29,IF(E39=13,C30,IF(E39=14,C31,IF(E39=15,C32,IF(E39=16,C33,IF(E39=17,C34,IF(E39=18,C35,IF(E39=19,C36,IF(E39=20,C37,IF(E39=21,C38,IF(E39=22,C39,IF(E39=23,C40)))))))))))))))))))))))</f>
        <v>Celeste Regina Núñez Pujols</v>
      </c>
    </row>
    <row r="40" spans="2:6" ht="15.75" customHeight="1" x14ac:dyDescent="0.25">
      <c r="B40" s="28">
        <v>23</v>
      </c>
      <c r="C40" s="25" t="s">
        <v>79</v>
      </c>
      <c r="D40" s="25">
        <f t="shared" ca="1" si="4"/>
        <v>0.22177512967592328</v>
      </c>
      <c r="E40" s="25">
        <f t="shared" ca="1" si="5"/>
        <v>17</v>
      </c>
      <c r="F40" s="25" t="str">
        <f ca="1">IF(E40=1,C18,IF(E40=2,C19,IF(E40=3,C20,IF(E40=4,C21,IF(E40=5,C22,IF(E40=6,C23,IF(E40=7,C24,IF(E40=8,C25,IF(E40=9,C26,IF(E40=10,C27,IF(E40=11,C28,IF(E40=12,C29,IF(E40=13,C30,IF(E40=14,C31,IF(E40=15,C32,IF(E40=16,C33,IF(E40=17,C34,IF(E40=18,C35,IF(E40=19,C36,IF(E40=20,C37,IF(E40=21,C38,IF(E40=22,C39,IF(E40=23,C40)))))))))))))))))))))))</f>
        <v>Kensy Esperanza Cabrera</v>
      </c>
    </row>
    <row r="41" spans="2:6" ht="15.75" customHeight="1" x14ac:dyDescent="0.25"/>
    <row r="42" spans="2:6" ht="15.75" customHeight="1" x14ac:dyDescent="0.25"/>
    <row r="43" spans="2:6" ht="15.75" customHeight="1" x14ac:dyDescent="0.25"/>
    <row r="44" spans="2:6" ht="15.75" customHeight="1" x14ac:dyDescent="0.25"/>
    <row r="45" spans="2:6" ht="15.75" customHeight="1" x14ac:dyDescent="0.25"/>
    <row r="46" spans="2:6" ht="15.75" customHeight="1" x14ac:dyDescent="0.25"/>
    <row r="47" spans="2:6" ht="15.75" customHeight="1" x14ac:dyDescent="0.25"/>
    <row r="48" spans="2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97"/>
  <sheetViews>
    <sheetView topLeftCell="A4" workbookViewId="0">
      <selection activeCell="C12" sqref="C12"/>
    </sheetView>
  </sheetViews>
  <sheetFormatPr defaultColWidth="14.42578125" defaultRowHeight="15" customHeight="1" x14ac:dyDescent="0.25"/>
  <cols>
    <col min="1" max="1" width="1.28515625" customWidth="1"/>
    <col min="2" max="2" width="15.7109375" customWidth="1"/>
    <col min="3" max="8" width="38.7109375" customWidth="1"/>
    <col min="9" max="26" width="11.42578125" customWidth="1"/>
  </cols>
  <sheetData>
    <row r="1" spans="1:9" ht="37.5" customHeight="1" x14ac:dyDescent="0.5">
      <c r="B1" s="116" t="s">
        <v>104</v>
      </c>
      <c r="C1" s="117"/>
      <c r="D1" s="118" t="s">
        <v>105</v>
      </c>
      <c r="E1" s="119"/>
      <c r="F1" s="119"/>
      <c r="G1" s="119"/>
      <c r="H1" s="120"/>
    </row>
    <row r="2" spans="1:9" ht="37.5" customHeight="1" x14ac:dyDescent="0.5">
      <c r="A2" s="33"/>
      <c r="B2" s="34" t="s">
        <v>106</v>
      </c>
      <c r="C2" s="35">
        <f t="shared" ref="C2:H2" ca="1" si="0">RANK(C3,$C$3:$H$3)</f>
        <v>2</v>
      </c>
      <c r="D2" s="35">
        <f t="shared" ca="1" si="0"/>
        <v>4</v>
      </c>
      <c r="E2" s="36">
        <f t="shared" ca="1" si="0"/>
        <v>5</v>
      </c>
      <c r="F2" s="36">
        <f t="shared" ca="1" si="0"/>
        <v>6</v>
      </c>
      <c r="G2" s="36">
        <f t="shared" ca="1" si="0"/>
        <v>1</v>
      </c>
      <c r="H2" s="37">
        <f t="shared" ca="1" si="0"/>
        <v>3</v>
      </c>
    </row>
    <row r="3" spans="1:9" ht="35.25" hidden="1" customHeight="1" x14ac:dyDescent="0.5">
      <c r="A3" s="38"/>
      <c r="B3" s="39"/>
      <c r="C3" s="40">
        <f t="shared" ref="C3:H3" ca="1" si="1">RAND()</f>
        <v>0.77522848195430161</v>
      </c>
      <c r="D3" s="41">
        <f t="shared" ca="1" si="1"/>
        <v>0.59014981707845038</v>
      </c>
      <c r="E3" s="42">
        <f t="shared" ca="1" si="1"/>
        <v>0.38099831659778816</v>
      </c>
      <c r="F3" s="42">
        <f t="shared" ca="1" si="1"/>
        <v>0.20685223242498674</v>
      </c>
      <c r="G3" s="42">
        <f t="shared" ca="1" si="1"/>
        <v>0.98231256325505234</v>
      </c>
      <c r="H3" s="43">
        <f t="shared" ca="1" si="1"/>
        <v>0.66586261272313751</v>
      </c>
    </row>
    <row r="4" spans="1:9" ht="37.5" customHeight="1" x14ac:dyDescent="0.5">
      <c r="A4" s="38"/>
      <c r="B4" s="44" t="s">
        <v>107</v>
      </c>
      <c r="C4" s="45" t="str">
        <f ca="1">IF(C2=1,C15,IF(C2=2,C16,IF(C2=3,C17,IF(C2=4,C18,IF(C2=5,C19,IF(C2=6,C20))))))</f>
        <v>Jefté</v>
      </c>
      <c r="D4" s="45" t="str">
        <f ca="1">IF(D2=1,C15,IF(D2=2,C16,IF(D2=3,C17,IF(D2=4,C18,IF(D2=5,C19,IF(D2=6,C20))))))</f>
        <v>El delito de Guibeá</v>
      </c>
      <c r="E4" s="45" t="str">
        <f ca="1">IF(E2=1,C15,IF(E2=2,C16,IF(E2=3,C17,IF(E2=4,C18,IF(E2=5,C19,IF(E2=6,C20))))))</f>
        <v>Samuel I</v>
      </c>
      <c r="F4" s="45" t="str">
        <f ca="1">IF(F2=1,C15,IF(F2=2,C16,IF(F2=3,C17,IF(F2=4,C18,IF(F2=5,C19,IF(F2=6,C20))))))</f>
        <v>Saúl</v>
      </c>
      <c r="G4" s="45" t="str">
        <f ca="1">IF(G2=1,C15,IF(G2=2,C16,IF(G2=3,C17,IF(G2=4,C18,IF(G2=5,C19,IF(G2=6,C20))))))</f>
        <v>Abimelek</v>
      </c>
      <c r="H4" s="46" t="str">
        <f ca="1">IF(H2=1,C15,IF(H2=2,C16,IF(H2=3,C17,IF(H2=4,C18,IF(H2=5,C19,IF(H2=6,C20))))))</f>
        <v>Sansón</v>
      </c>
      <c r="I4" s="24"/>
    </row>
    <row r="5" spans="1:9" ht="51" customHeight="1" x14ac:dyDescent="0.25">
      <c r="A5" s="38"/>
      <c r="B5" s="47" t="s">
        <v>108</v>
      </c>
      <c r="C5" s="48" t="s">
        <v>85</v>
      </c>
      <c r="D5" s="49" t="s">
        <v>87</v>
      </c>
      <c r="E5" s="49" t="s">
        <v>89</v>
      </c>
      <c r="F5" s="49" t="s">
        <v>51</v>
      </c>
      <c r="G5" s="50" t="str">
        <f ca="1">sReponsables!F18</f>
        <v>Ruth Divina Alcantara Arias</v>
      </c>
      <c r="H5" s="51" t="str">
        <f ca="1">sReponsables!F8</f>
        <v>Angel Gabriel &amp; Yulissa Peña</v>
      </c>
    </row>
    <row r="6" spans="1:9" ht="37.5" customHeight="1" x14ac:dyDescent="0.25">
      <c r="B6" s="121" t="s">
        <v>109</v>
      </c>
      <c r="C6" s="52" t="str">
        <f ca="1">sReponsables!F9</f>
        <v>Dionis Alcantara &amp; Ana Yulis</v>
      </c>
      <c r="D6" s="53" t="str">
        <f ca="1">sReponsables!F19</f>
        <v>Rosa Oliva Sánchez Arias</v>
      </c>
      <c r="E6" s="54" t="str">
        <f ca="1">sReponsables!F10</f>
        <v>Carlos David &amp; Rosa Dominguez</v>
      </c>
      <c r="F6" s="55" t="str">
        <f ca="1">sReponsables!F20</f>
        <v>Luz Alexa Maria Sanchez</v>
      </c>
      <c r="G6" s="54" t="str">
        <f ca="1">sReponsables!F11</f>
        <v>Mario de la Cruz &amp; Victoria Vasquez</v>
      </c>
      <c r="H6" s="56" t="str">
        <f ca="1">sReponsables!F21</f>
        <v>Enmanuel Gonzalez María</v>
      </c>
    </row>
    <row r="7" spans="1:9" ht="37.5" customHeight="1" x14ac:dyDescent="0.25">
      <c r="B7" s="122"/>
      <c r="C7" s="57" t="str">
        <f ca="1">sReponsables!F22</f>
        <v>Daysi Francisca Garcia Vasquez</v>
      </c>
      <c r="D7" s="58" t="str">
        <f ca="1">sReponsables!F12</f>
        <v>Alejandro Flaz &amp; Natalia García</v>
      </c>
      <c r="E7" s="59" t="str">
        <f ca="1">sReponsables!F23</f>
        <v>Hermes Moises Aibar Pontier</v>
      </c>
      <c r="F7" s="60" t="str">
        <f ca="1">sReponsables!F13</f>
        <v>Juan Isidro &amp; Sindy Núñez</v>
      </c>
      <c r="G7" s="59" t="str">
        <f ca="1">sReponsables!F24</f>
        <v>Maria Dolores de la Cruz Solano</v>
      </c>
      <c r="H7" s="61" t="str">
        <f ca="1">sReponsables!F14</f>
        <v>Marcos Ventura &amp; Pilar Calcaño</v>
      </c>
    </row>
    <row r="8" spans="1:9" ht="37.5" customHeight="1" x14ac:dyDescent="0.25">
      <c r="B8" s="122"/>
      <c r="C8" s="62" t="str">
        <f ca="1">sReponsables!F15</f>
        <v>Daniel Gonzalez &amp; Winny Lora</v>
      </c>
      <c r="D8" s="59" t="str">
        <f ca="1">sReponsables!F25</f>
        <v>Antonia Polanco P.</v>
      </c>
      <c r="E8" s="58" t="str">
        <f ca="1">sReponsables!F26</f>
        <v>Gisela Antonia Gil</v>
      </c>
      <c r="F8" s="63" t="str">
        <f ca="1">sReponsables!F27</f>
        <v>Virginia Carolina</v>
      </c>
      <c r="G8" s="58" t="str">
        <f ca="1">sReponsables!F28</f>
        <v>Angel Jeremias Florentino de Paula</v>
      </c>
      <c r="H8" s="64" t="str">
        <f ca="1">sReponsables!F29</f>
        <v>Isabel Concepción</v>
      </c>
    </row>
    <row r="9" spans="1:9" ht="37.5" customHeight="1" x14ac:dyDescent="0.25">
      <c r="B9" s="122"/>
      <c r="C9" s="57" t="str">
        <f ca="1">sReponsables!F30</f>
        <v>José Miraye</v>
      </c>
      <c r="D9" s="58" t="str">
        <f ca="1">sReponsables!F31</f>
        <v>Altagracia Vitello Guzman</v>
      </c>
      <c r="E9" s="59" t="str">
        <f ca="1">sReponsables!F32</f>
        <v>Angela George</v>
      </c>
      <c r="F9" s="60" t="str">
        <f ca="1">sReponsables!F33</f>
        <v>Elimar Alvarez</v>
      </c>
      <c r="G9" s="59" t="str">
        <f ca="1">sReponsables!F34</f>
        <v>Corina Altagracia Sosa</v>
      </c>
      <c r="H9" s="61" t="str">
        <f ca="1">sReponsables!F35</f>
        <v>Eliezer Paniagua</v>
      </c>
    </row>
    <row r="10" spans="1:9" ht="37.5" customHeight="1" x14ac:dyDescent="0.25">
      <c r="B10" s="123"/>
      <c r="C10" s="65" t="str">
        <f ca="1">sReponsables!F36</f>
        <v>Euridisis Encarnación Reyes</v>
      </c>
      <c r="D10" s="66" t="str">
        <f ca="1">sReponsables!F37</f>
        <v>Ruth Nathalie Veras Acosta</v>
      </c>
      <c r="E10" s="67" t="str">
        <f ca="1">sReponsables!F38</f>
        <v>Carmen Herminia Hernandez</v>
      </c>
      <c r="F10" s="68" t="str">
        <f ca="1">sReponsables!F39</f>
        <v>Celeste Regina Núñez Pujols</v>
      </c>
      <c r="G10" s="67" t="str">
        <f ca="1">sReponsables!F40</f>
        <v>Kensy Esperanza Cabrera</v>
      </c>
      <c r="H10" s="69"/>
    </row>
    <row r="12" spans="1:9" ht="26.25" x14ac:dyDescent="0.4">
      <c r="C12" s="70" t="s">
        <v>110</v>
      </c>
      <c r="D12" s="124" t="s">
        <v>111</v>
      </c>
      <c r="E12" s="125"/>
      <c r="F12" s="125"/>
      <c r="G12" s="125"/>
    </row>
    <row r="14" spans="1:9" x14ac:dyDescent="0.25">
      <c r="D14" s="126" t="s">
        <v>112</v>
      </c>
      <c r="E14" s="127"/>
      <c r="F14" s="127"/>
      <c r="G14" s="128"/>
    </row>
    <row r="15" spans="1:9" x14ac:dyDescent="0.25">
      <c r="B15" s="19">
        <v>1</v>
      </c>
      <c r="C15" s="19" t="str">
        <f>Temas!A15</f>
        <v>Abimelek</v>
      </c>
      <c r="D15" s="25" t="s">
        <v>113</v>
      </c>
      <c r="E15" s="71" t="s">
        <v>114</v>
      </c>
      <c r="F15" s="25" t="s">
        <v>115</v>
      </c>
      <c r="G15" s="25" t="s">
        <v>116</v>
      </c>
    </row>
    <row r="16" spans="1:9" x14ac:dyDescent="0.25">
      <c r="B16" s="19">
        <v>2</v>
      </c>
      <c r="C16" s="19" t="str">
        <f>Temas!A16</f>
        <v>Jefté</v>
      </c>
      <c r="D16" s="25" t="s">
        <v>117</v>
      </c>
      <c r="E16" s="25" t="s">
        <v>118</v>
      </c>
      <c r="F16" s="25" t="s">
        <v>119</v>
      </c>
      <c r="G16" s="25" t="s">
        <v>120</v>
      </c>
    </row>
    <row r="17" spans="2:7" x14ac:dyDescent="0.25">
      <c r="B17" s="19">
        <v>3</v>
      </c>
      <c r="C17" s="19" t="str">
        <f>Temas!A17</f>
        <v>Sansón</v>
      </c>
      <c r="D17" s="25" t="s">
        <v>121</v>
      </c>
      <c r="E17" s="25" t="s">
        <v>122</v>
      </c>
      <c r="F17" s="25" t="s">
        <v>123</v>
      </c>
      <c r="G17" s="25" t="s">
        <v>124</v>
      </c>
    </row>
    <row r="18" spans="2:7" ht="15.75" customHeight="1" x14ac:dyDescent="0.25">
      <c r="B18" s="19">
        <v>4</v>
      </c>
      <c r="C18" s="19" t="str">
        <f>Temas!A18</f>
        <v>El delito de Guibeá</v>
      </c>
      <c r="D18" s="25" t="s">
        <v>125</v>
      </c>
      <c r="E18" s="25" t="s">
        <v>126</v>
      </c>
      <c r="F18" s="25" t="s">
        <v>127</v>
      </c>
      <c r="G18" s="25" t="s">
        <v>128</v>
      </c>
    </row>
    <row r="19" spans="2:7" ht="15.75" customHeight="1" x14ac:dyDescent="0.25">
      <c r="B19" s="19">
        <v>5</v>
      </c>
      <c r="C19" s="24" t="str">
        <f>Temas!A19</f>
        <v>Samuel I</v>
      </c>
      <c r="D19" s="25" t="s">
        <v>129</v>
      </c>
      <c r="E19" s="25" t="s">
        <v>130</v>
      </c>
      <c r="F19" s="25" t="s">
        <v>131</v>
      </c>
      <c r="G19" s="25" t="s">
        <v>132</v>
      </c>
    </row>
    <row r="20" spans="2:7" ht="15.75" customHeight="1" x14ac:dyDescent="0.25">
      <c r="B20" s="19">
        <v>6</v>
      </c>
      <c r="C20" s="24" t="str">
        <f>Temas!A21</f>
        <v>Saúl</v>
      </c>
      <c r="D20" s="25" t="s">
        <v>133</v>
      </c>
      <c r="E20" s="25" t="s">
        <v>134</v>
      </c>
      <c r="F20" s="25" t="s">
        <v>135</v>
      </c>
      <c r="G20" s="25" t="s">
        <v>136</v>
      </c>
    </row>
    <row r="21" spans="2:7" ht="15.75" customHeight="1" x14ac:dyDescent="0.25">
      <c r="D21" s="25" t="s">
        <v>137</v>
      </c>
      <c r="E21" s="25" t="s">
        <v>138</v>
      </c>
      <c r="F21" s="25" t="s">
        <v>139</v>
      </c>
      <c r="G21" s="25" t="s">
        <v>140</v>
      </c>
    </row>
    <row r="22" spans="2:7" ht="15.75" customHeight="1" x14ac:dyDescent="0.25">
      <c r="D22" s="25" t="s">
        <v>141</v>
      </c>
      <c r="E22" s="25" t="s">
        <v>142</v>
      </c>
      <c r="F22" s="25" t="s">
        <v>143</v>
      </c>
      <c r="G22" s="25" t="s">
        <v>144</v>
      </c>
    </row>
    <row r="23" spans="2:7" ht="15.75" customHeight="1" x14ac:dyDescent="0.25">
      <c r="D23" s="25" t="s">
        <v>145</v>
      </c>
      <c r="E23" s="25" t="s">
        <v>146</v>
      </c>
      <c r="F23" s="25" t="s">
        <v>147</v>
      </c>
      <c r="G23" s="25"/>
    </row>
    <row r="24" spans="2:7" ht="15.75" customHeight="1" x14ac:dyDescent="0.25">
      <c r="D24" s="25" t="s">
        <v>148</v>
      </c>
      <c r="E24" s="25" t="s">
        <v>149</v>
      </c>
      <c r="F24" s="25" t="s">
        <v>150</v>
      </c>
      <c r="G24" s="25"/>
    </row>
    <row r="25" spans="2:7" ht="15.75" customHeight="1" x14ac:dyDescent="0.25">
      <c r="D25" s="25" t="s">
        <v>151</v>
      </c>
      <c r="E25" s="25" t="s">
        <v>152</v>
      </c>
      <c r="F25" s="25" t="s">
        <v>153</v>
      </c>
      <c r="G25" s="25"/>
    </row>
    <row r="26" spans="2:7" ht="15.75" customHeight="1" x14ac:dyDescent="0.25">
      <c r="D26" s="25" t="s">
        <v>154</v>
      </c>
      <c r="E26" s="25" t="s">
        <v>155</v>
      </c>
      <c r="F26" s="25" t="s">
        <v>156</v>
      </c>
      <c r="G26" s="25"/>
    </row>
    <row r="27" spans="2:7" ht="15.75" customHeight="1" x14ac:dyDescent="0.25">
      <c r="D27" s="25" t="s">
        <v>157</v>
      </c>
      <c r="E27" s="25" t="s">
        <v>158</v>
      </c>
      <c r="F27" s="25" t="s">
        <v>159</v>
      </c>
      <c r="G27" s="25"/>
    </row>
    <row r="28" spans="2:7" ht="15.75" customHeight="1" x14ac:dyDescent="0.25"/>
    <row r="29" spans="2:7" ht="15.75" customHeight="1" x14ac:dyDescent="0.25"/>
    <row r="30" spans="2:7" ht="15.75" customHeight="1" x14ac:dyDescent="0.25"/>
    <row r="31" spans="2:7" ht="15.75" customHeight="1" x14ac:dyDescent="0.25"/>
    <row r="32" spans="2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5">
    <mergeCell ref="B1:C1"/>
    <mergeCell ref="D1:H1"/>
    <mergeCell ref="B6:B10"/>
    <mergeCell ref="D12:G12"/>
    <mergeCell ref="D14:G14"/>
  </mergeCells>
  <dataValidations disablePrompts="1" count="1">
    <dataValidation type="list" allowBlank="1" showErrorMessage="1" sqref="C12" xr:uid="{00000000-0002-0000-0200-000000000000}">
      <formula1>"Generar Nuevo Grupo"</formula1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4.42578125" defaultRowHeight="15" customHeight="1" x14ac:dyDescent="0.25"/>
  <cols>
    <col min="1" max="1" width="3" customWidth="1"/>
    <col min="2" max="2" width="38.85546875" customWidth="1"/>
    <col min="3" max="3" width="12" customWidth="1"/>
    <col min="4" max="4" width="5.5703125" customWidth="1"/>
    <col min="5" max="5" width="38.85546875" customWidth="1"/>
    <col min="6" max="6" width="3" customWidth="1"/>
    <col min="7" max="26" width="11.42578125" customWidth="1"/>
  </cols>
  <sheetData>
    <row r="1" spans="1:6" ht="26.25" x14ac:dyDescent="0.4">
      <c r="A1" s="72" t="s">
        <v>83</v>
      </c>
      <c r="B1" s="31" t="s">
        <v>26</v>
      </c>
      <c r="C1" s="73" t="s">
        <v>82</v>
      </c>
      <c r="D1" s="73" t="s">
        <v>83</v>
      </c>
      <c r="E1" s="73" t="s">
        <v>160</v>
      </c>
      <c r="F1" s="24"/>
    </row>
    <row r="2" spans="1:6" x14ac:dyDescent="0.25">
      <c r="A2" s="25">
        <v>1</v>
      </c>
      <c r="B2" s="25" t="s">
        <v>92</v>
      </c>
      <c r="C2" s="25">
        <f t="shared" ref="C2:C12" ca="1" si="0">RAND()</f>
        <v>0.87477694202546019</v>
      </c>
      <c r="D2" s="25">
        <f t="shared" ref="D2:D12" ca="1" si="1">RANK(C2,$C$2:$C$12)+COUNTIF($C$2:C2,C2)-1</f>
        <v>1</v>
      </c>
      <c r="E2" s="25" t="str">
        <f ca="1">IF(D2=1,B2,IF(D2=2,B3,IF(D2=3,B4,IF(D2=4,B5,IF(D2=5,B6,IF(D2=6,B7,IF(D2=7,B8,IF(D2=8,B9,IF(D2=9,B10,IF(D2=10,B11,IF(D2=11,B12,)))))))))))</f>
        <v>Alejandro Flaz &amp; Natalia García</v>
      </c>
      <c r="F2" s="24"/>
    </row>
    <row r="3" spans="1:6" x14ac:dyDescent="0.25">
      <c r="A3" s="32">
        <v>2</v>
      </c>
      <c r="B3" s="32" t="s">
        <v>94</v>
      </c>
      <c r="C3" s="32">
        <f t="shared" ca="1" si="0"/>
        <v>0.73083539933564268</v>
      </c>
      <c r="D3" s="32">
        <f t="shared" ca="1" si="1"/>
        <v>2</v>
      </c>
      <c r="E3" s="32" t="str">
        <f ca="1">IF(D3=1,B2,IF(D3=2,B3,IF(D3=3,B4,IF(D3=4,B5,IF(D3=5,B6,IF(D3=6,B7,IF(D3=7,B8,IF(D3=8,B9,IF(D3=9,B10,IF(D3=10,B11,IF(D3=11,B12,)))))))))))</f>
        <v>Angel Gabriel &amp; Yulissa Peña</v>
      </c>
      <c r="F3" s="24"/>
    </row>
    <row r="4" spans="1:6" x14ac:dyDescent="0.25">
      <c r="A4" s="25">
        <v>3</v>
      </c>
      <c r="B4" s="25" t="s">
        <v>96</v>
      </c>
      <c r="C4" s="25">
        <f t="shared" ca="1" si="0"/>
        <v>0.68910742628178712</v>
      </c>
      <c r="D4" s="25">
        <f t="shared" ca="1" si="1"/>
        <v>3</v>
      </c>
      <c r="E4" s="25" t="str">
        <f ca="1">IF(D4=1,B2,IF(D4=2,B3,IF(D4=3,B4,IF(D4=4,B5,IF(D4=5,B6,IF(D4=6,B7,IF(D4=7,B8,IF(D4=8,B9,IF(D4=9,B10,IF(D4=10,B11,IF(D4=11,B12,)))))))))))</f>
        <v>Carlos David &amp; Rosa Dominguez</v>
      </c>
      <c r="F4" s="24"/>
    </row>
    <row r="5" spans="1:6" x14ac:dyDescent="0.25">
      <c r="A5" s="32">
        <v>4</v>
      </c>
      <c r="B5" s="32" t="s">
        <v>89</v>
      </c>
      <c r="C5" s="32">
        <f t="shared" ca="1" si="0"/>
        <v>0.39512169168653843</v>
      </c>
      <c r="D5" s="32">
        <f t="shared" ca="1" si="1"/>
        <v>7</v>
      </c>
      <c r="E5" s="32" t="str">
        <f ca="1">IF(D5=1,B2,IF(D5=2,B3,IF(D5=3,B4,IF(D5=4,B5,IF(D5=5,B6,IF(D5=6,B7,IF(D5=7,B8,IF(D5=8,B9,IF(D5=9,B10,IF(D5=10,B11,IF(D5=11,B12,)))))))))))</f>
        <v>Edwin García &amp; Sugey Padilla</v>
      </c>
      <c r="F5" s="24"/>
    </row>
    <row r="6" spans="1:6" x14ac:dyDescent="0.25">
      <c r="A6" s="25">
        <v>5</v>
      </c>
      <c r="B6" s="25" t="s">
        <v>98</v>
      </c>
      <c r="C6" s="25">
        <f t="shared" ca="1" si="0"/>
        <v>6.9619886888572458E-2</v>
      </c>
      <c r="D6" s="25">
        <f t="shared" ca="1" si="1"/>
        <v>10</v>
      </c>
      <c r="E6" s="25" t="str">
        <f ca="1">IF(D6=1,B2,IF(D6=2,B3,IF(D6=3,B4,IF(D6=4,B5,IF(D6=5,B6,IF(D6=6,B7,IF(D6=7,B8,IF(D6=8,B9,IF(D6=9,B10,IF(D6=10,B11,IF(D6=11,B12,)))))))))))</f>
        <v>Mario de la Cruz &amp; Victoria Vasquez</v>
      </c>
      <c r="F6" s="24"/>
    </row>
    <row r="7" spans="1:6" x14ac:dyDescent="0.25">
      <c r="A7" s="32">
        <v>6</v>
      </c>
      <c r="B7" s="32" t="s">
        <v>99</v>
      </c>
      <c r="C7" s="32">
        <f t="shared" ca="1" si="0"/>
        <v>4.0754213176384946E-2</v>
      </c>
      <c r="D7" s="32">
        <f t="shared" ca="1" si="1"/>
        <v>11</v>
      </c>
      <c r="E7" s="32" t="str">
        <f ca="1">IF(D7=1,B2,IF(D7=2,B3,IF(D7=3,B4,IF(D7=4,B5,IF(D7=5,B6,IF(D7=6,B7,IF(D7=7,B8,IF(D7=8,B9,IF(D7=9,B10,IF(D7=10,B11,IF(D7=11,B12,)))))))))))</f>
        <v>Miguel Rodriguez &amp; Rosa Morillo | Mery</v>
      </c>
      <c r="F7" s="24"/>
    </row>
    <row r="8" spans="1:6" x14ac:dyDescent="0.25">
      <c r="A8" s="25">
        <v>7</v>
      </c>
      <c r="B8" s="25" t="s">
        <v>161</v>
      </c>
      <c r="C8" s="25">
        <f t="shared" ca="1" si="0"/>
        <v>8.4579467460280444E-2</v>
      </c>
      <c r="D8" s="25">
        <f t="shared" ca="1" si="1"/>
        <v>9</v>
      </c>
      <c r="E8" s="25" t="str">
        <f ca="1">IF(D8=1,B2,IF(D8=2,B3,IF(D8=3,B4,IF(D8=4,B5,IF(D8=5,B6,IF(D8=6,B7,IF(D8=7,B8,IF(D8=8,B9,IF(D8=9,B10,IF(D8=10,B11,IF(D8=11,B12,)))))))))))</f>
        <v>Marcos Ventura &amp; Pilar Calcaño</v>
      </c>
      <c r="F8" s="24"/>
    </row>
    <row r="9" spans="1:6" x14ac:dyDescent="0.25">
      <c r="A9" s="32">
        <v>8</v>
      </c>
      <c r="B9" s="32" t="s">
        <v>100</v>
      </c>
      <c r="C9" s="32">
        <f t="shared" ca="1" si="0"/>
        <v>0.59546032597385234</v>
      </c>
      <c r="D9" s="32">
        <f t="shared" ca="1" si="1"/>
        <v>4</v>
      </c>
      <c r="E9" s="32" t="str">
        <f ca="1">IF(D9=1,B2,IF(D9=2,B3,IF(D9=3,B4,IF(D9=4,B5,IF(D9=5,B6,IF(D9=6,B7,IF(D9=7,B8,IF(D9=8,B9,IF(D9=9,B10,IF(D9=10,B11,IF(D9=11,B12,)))))))))))</f>
        <v>Carlos Guevara &amp; Arelis Lazala</v>
      </c>
      <c r="F9" s="24"/>
    </row>
    <row r="10" spans="1:6" x14ac:dyDescent="0.25">
      <c r="A10" s="25">
        <v>9</v>
      </c>
      <c r="B10" s="25" t="s">
        <v>101</v>
      </c>
      <c r="C10" s="25">
        <f t="shared" ca="1" si="0"/>
        <v>0.57566081387509682</v>
      </c>
      <c r="D10" s="25">
        <f t="shared" ca="1" si="1"/>
        <v>5</v>
      </c>
      <c r="E10" s="25" t="str">
        <f ca="1">IF(D10=1,B2,IF(D10=2,B3,IF(D10=3,B4,IF(D10=4,B5,IF(D10=5,B6,IF(D10=6,B7,IF(D10=7,B8,IF(D10=8,B9,IF(D10=9,B10,IF(D10=10,B11,IF(D10=11,B12,)))))))))))</f>
        <v>Daniel Gonzalez &amp; Winny Lora</v>
      </c>
      <c r="F10" s="24"/>
    </row>
    <row r="11" spans="1:6" x14ac:dyDescent="0.25">
      <c r="A11" s="32">
        <v>10</v>
      </c>
      <c r="B11" s="32" t="s">
        <v>103</v>
      </c>
      <c r="C11" s="32">
        <f t="shared" ca="1" si="0"/>
        <v>0.52486765013835834</v>
      </c>
      <c r="D11" s="32">
        <f t="shared" ca="1" si="1"/>
        <v>6</v>
      </c>
      <c r="E11" s="32" t="str">
        <f ca="1">IF(D11=1,B2,IF(D11=2,B3,IF(D11=3,B4,IF(D11=4,B5,IF(D11=5,B6,IF(D11=6,B7,IF(D11=7,B8,IF(D11=8,B9,IF(D11=9,B10,IF(D11=10,B11,IF(D11=11,B12,)))))))))))</f>
        <v>Dionis Alcantara &amp; Ana Yulis</v>
      </c>
      <c r="F11" s="24"/>
    </row>
    <row r="12" spans="1:6" x14ac:dyDescent="0.25">
      <c r="A12" s="25">
        <v>11</v>
      </c>
      <c r="B12" s="25" t="s">
        <v>85</v>
      </c>
      <c r="C12" s="25">
        <f t="shared" ca="1" si="0"/>
        <v>0.25261310615058297</v>
      </c>
      <c r="D12" s="25">
        <f t="shared" ca="1" si="1"/>
        <v>8</v>
      </c>
      <c r="E12" s="25" t="str">
        <f ca="1">IF(D12=1,B2,IF(D12=2,B3,IF(D12=3,B4,IF(D12=4,B5,IF(D12=5,B6,IF(D12=6,B7,IF(D12=7,B8,IF(D12=8,B9,IF(D12=9,B10,IF(D12=10,B11,IF(D12=11,B12,)))))))))))</f>
        <v>Juan Isidro &amp; Sindy Núñez</v>
      </c>
      <c r="F12" s="24"/>
    </row>
    <row r="13" spans="1:6" x14ac:dyDescent="0.25">
      <c r="F13" s="24"/>
    </row>
    <row r="14" spans="1:6" ht="26.25" x14ac:dyDescent="0.4">
      <c r="A14" s="72" t="s">
        <v>83</v>
      </c>
      <c r="B14" s="31" t="s">
        <v>162</v>
      </c>
      <c r="C14" s="73" t="s">
        <v>82</v>
      </c>
      <c r="D14" s="73" t="s">
        <v>83</v>
      </c>
      <c r="E14" s="73" t="s">
        <v>160</v>
      </c>
      <c r="F14" s="24"/>
    </row>
    <row r="15" spans="1:6" x14ac:dyDescent="0.25">
      <c r="A15" s="25">
        <v>1</v>
      </c>
      <c r="B15" s="28" t="s">
        <v>34</v>
      </c>
      <c r="C15" s="25">
        <f t="shared" ref="C15:C38" ca="1" si="2">RAND()</f>
        <v>0.51490094002486786</v>
      </c>
      <c r="D15" s="25">
        <f t="shared" ref="D15:D38" ca="1" si="3">RANK(C15,$C$15:$C$38)+COUNTIF($C$15:C15,C15)-1</f>
        <v>10</v>
      </c>
      <c r="E15" s="25" t="str">
        <f ca="1">IF(D15=1,B15,IF(D15=2,B16,IF(D15=3,B17,IF(D15=4,B18,IF(D15=5,B19,IF(D15=6,B20,IF(D15=7,B21,IF(D15=8,B22,IF(D15=9,B23,IF(D15=10,B24,IF(D15=11,B25,IF(D15=12,B26,IF(D15=13,B27,IF(D15=14,B28,IF(D15=15,B29,IF(D15=16,B30,IF(D15=17,B31,IF(D15=18,B32,IF(D15=19,B33,IF(D15=20,B34,IF(D15=21,B35,IF(D15=22,B36,IF(D15=23,B37,IF(D15=24,B38))))))))))))))))))))))))</f>
        <v>Eliezer Paniagua</v>
      </c>
      <c r="F15" s="24"/>
    </row>
    <row r="16" spans="1:6" x14ac:dyDescent="0.25">
      <c r="A16" s="32">
        <v>2</v>
      </c>
      <c r="B16" s="29" t="s">
        <v>41</v>
      </c>
      <c r="C16" s="32">
        <f t="shared" ca="1" si="2"/>
        <v>0.34604167628603177</v>
      </c>
      <c r="D16" s="25">
        <f t="shared" ca="1" si="3"/>
        <v>12</v>
      </c>
      <c r="E16" s="32" t="str">
        <f ca="1">IF(D16=1,B15,IF(D16=2,B16,IF(D16=3,B17,IF(D16=4,B18,IF(D16=5,B19,IF(D16=6,B20,IF(D16=7,B21,IF(D16=8,B22,IF(D16=9,B23,IF(D16=10,B24,IF(D16=11,B25,IF(D16=12,B26,IF(D16=13,B27,IF(D16=14,B28,IF(D16=15,B29,IF(D16=16,B30,IF(D16=17,B31,IF(D16=18,B32,IF(D16=19,B33,IF(D16=20,B34,IF(D16=21,B35,IF(D16=22,B36,IF(D16=23,B37,IF(D16=24,B38))))))))))))))))))))))))</f>
        <v>Enmanuel Gonzalez María</v>
      </c>
      <c r="F16" s="24"/>
    </row>
    <row r="17" spans="1:6" x14ac:dyDescent="0.25">
      <c r="A17" s="25">
        <v>3</v>
      </c>
      <c r="B17" s="28" t="s">
        <v>36</v>
      </c>
      <c r="C17" s="25">
        <f t="shared" ca="1" si="2"/>
        <v>0.82393343323654467</v>
      </c>
      <c r="D17" s="25">
        <f t="shared" ca="1" si="3"/>
        <v>5</v>
      </c>
      <c r="E17" s="25" t="str">
        <f ca="1">IF(D17=1,B15,IF(D17=2,B16,IF(D17=3,B17,IF(D17=4,B18,IF(D17=5,B19,IF(D17=6,B20,IF(D17=7,B21,IF(D17=8,B22,IF(D17=9,B23,IF(D17=10,B24,IF(D17=11,B25,IF(D17=12,B26,IF(D17=13,B27,IF(D17=14,B28,IF(D17=15,B29,IF(D17=16,B30,IF(D17=17,B31,IF(D17=18,B32,IF(D17=19,B33,IF(D17=20,B34,IF(D17=21,B35,IF(D17=22,B36,IF(D17=23,B37,IF(D17=24,B38))))))))))))))))))))))))</f>
        <v>Carmen Herminia Hernandez</v>
      </c>
      <c r="F17" s="24"/>
    </row>
    <row r="18" spans="1:6" x14ac:dyDescent="0.25">
      <c r="A18" s="32">
        <v>4</v>
      </c>
      <c r="B18" s="29" t="s">
        <v>44</v>
      </c>
      <c r="C18" s="32">
        <f t="shared" ca="1" si="2"/>
        <v>0.69949264853788373</v>
      </c>
      <c r="D18" s="25">
        <f t="shared" ca="1" si="3"/>
        <v>8</v>
      </c>
      <c r="E18" s="32" t="str">
        <f ca="1">IF(D18=1,B15,IF(D18=2,B16,IF(D18=3,B17,IF(D18=4,B18,IF(D18=5,B19,IF(D18=6,B20,IF(D18=7,B21,IF(D18=8,B22,IF(D18=9,B23,IF(D18=10,B24,IF(D18=11,B25,IF(D18=12,B26,IF(D18=13,B27,IF(D18=14,B28,IF(D18=15,B29,IF(D18=16,B30,IF(D18=17,B31,IF(D18=18,B32,IF(D18=19,B33,IF(D18=20,B34,IF(D18=21,B35,IF(D18=22,B36,IF(D18=23,B37,IF(D18=24,B38))))))))))))))))))))))))</f>
        <v>Criseida Sánchez</v>
      </c>
      <c r="F18" s="24"/>
    </row>
    <row r="19" spans="1:6" x14ac:dyDescent="0.25">
      <c r="A19" s="25">
        <v>5</v>
      </c>
      <c r="B19" s="28" t="s">
        <v>48</v>
      </c>
      <c r="C19" s="25">
        <f t="shared" ca="1" si="2"/>
        <v>8.3710853641487892E-2</v>
      </c>
      <c r="D19" s="25">
        <f t="shared" ca="1" si="3"/>
        <v>21</v>
      </c>
      <c r="E19" s="25" t="str">
        <f ca="1">IF(D19=1,B15,IF(D19=2,B16,IF(D19=3,B17,IF(D19=4,B18,IF(D19=5,B19,IF(D19=6,B20,IF(D19=7,B21,IF(D19=8,B22,IF(D19=9,B23,IF(D19=10,B24,IF(D19=11,B25,IF(D19=12,B26,IF(D19=13,B27,IF(D19=14,B28,IF(D19=15,B29,IF(D19=16,B30,IF(D19=17,B31,IF(D19=18,B32,IF(D19=19,B33,IF(D19=20,B34,IF(D19=21,B35,IF(D19=22,B36,IF(D19=23,B37,IF(D19=24,B38))))))))))))))))))))))))</f>
        <v>Rosa Oliva Sánchez Arias</v>
      </c>
      <c r="F19" s="24"/>
    </row>
    <row r="20" spans="1:6" x14ac:dyDescent="0.25">
      <c r="A20" s="32">
        <v>6</v>
      </c>
      <c r="B20" s="29" t="s">
        <v>49</v>
      </c>
      <c r="C20" s="32">
        <f t="shared" ca="1" si="2"/>
        <v>5.157039932785934E-2</v>
      </c>
      <c r="D20" s="25">
        <f t="shared" ca="1" si="3"/>
        <v>22</v>
      </c>
      <c r="E20" s="32" t="str">
        <f ca="1">IF(D20=1,B15,IF(D20=2,B16,IF(D20=3,B17,IF(D20=4,B18,IF(D20=5,B19,IF(D20=6,B20,IF(D20=7,B21,IF(D20=8,B22,IF(D20=9,B23,IF(D20=10,B24,IF(D20=11,B25,IF(D20=12,B26,IF(D20=13,B27,IF(D20=14,B28,IF(D20=15,B29,IF(D20=16,B30,IF(D20=17,B31,IF(D20=18,B32,IF(D20=19,B33,IF(D20=20,B34,IF(D20=21,B35,IF(D20=22,B36,IF(D20=23,B37,IF(D20=24,B38))))))))))))))))))))))))</f>
        <v>Ruth Divina Alcantara Arias</v>
      </c>
      <c r="F20" s="24"/>
    </row>
    <row r="21" spans="1:6" ht="15.75" customHeight="1" x14ac:dyDescent="0.25">
      <c r="A21" s="25">
        <v>7</v>
      </c>
      <c r="B21" s="28" t="s">
        <v>50</v>
      </c>
      <c r="C21" s="25">
        <f t="shared" ca="1" si="2"/>
        <v>0.90501062885053429</v>
      </c>
      <c r="D21" s="25">
        <f t="shared" ca="1" si="3"/>
        <v>2</v>
      </c>
      <c r="E21" s="25" t="str">
        <f ca="1">IF(D21=1,B15,IF(D21=2,B16,IF(D21=3,B17,IF(D21=4,B18,IF(D21=5,B19,IF(D21=6,B20,IF(D21=7,B21,IF(D21=8,B22,IF(D21=9,B23,IF(D21=10,B24,IF(D21=11,B25,IF(D21=12,B26,IF(D21=13,B27,IF(D21=14,B28,IF(D21=15,B29,IF(D21=16,B30,IF(D21=17,B31,IF(D21=18,B32,IF(D21=19,B33,IF(D21=20,B34,IF(D21=21,B35,IF(D21=22,B36,IF(D21=23,B37,IF(D21=24,B38))))))))))))))))))))))))</f>
        <v>Angel Jeremias Florentino de Paula</v>
      </c>
      <c r="F21" s="24"/>
    </row>
    <row r="22" spans="1:6" ht="15.75" customHeight="1" x14ac:dyDescent="0.25">
      <c r="A22" s="32">
        <v>8</v>
      </c>
      <c r="B22" s="29" t="s">
        <v>51</v>
      </c>
      <c r="C22" s="32">
        <f t="shared" ca="1" si="2"/>
        <v>0.30110858140523866</v>
      </c>
      <c r="D22" s="25">
        <f t="shared" ca="1" si="3"/>
        <v>14</v>
      </c>
      <c r="E22" s="32" t="str">
        <f ca="1">IF(D22=1,B15,IF(D22=2,B16,IF(D22=3,B17,IF(D22=4,B18,IF(D22=5,B19,IF(D22=6,B20,IF(D22=7,B21,IF(D22=8,B22,IF(D22=9,B23,IF(D22=10,B24,IF(D22=11,B25,IF(D22=12,B26,IF(D22=13,B27,IF(D22=14,B28,IF(D22=15,B29,IF(D22=16,B30,IF(D22=17,B31,IF(D22=18,B32,IF(D22=19,B33,IF(D22=20,B34,IF(D22=21,B35,IF(D22=22,B36,IF(D22=23,B37,IF(D22=24,B38))))))))))))))))))))))))</f>
        <v>Gisela Antonia Gil</v>
      </c>
      <c r="F22" s="24"/>
    </row>
    <row r="23" spans="1:6" ht="15.75" customHeight="1" x14ac:dyDescent="0.25">
      <c r="A23" s="25">
        <v>9</v>
      </c>
      <c r="B23" s="28" t="s">
        <v>53</v>
      </c>
      <c r="C23" s="25">
        <f t="shared" ca="1" si="2"/>
        <v>7.3985908672310474E-3</v>
      </c>
      <c r="D23" s="25">
        <f t="shared" ca="1" si="3"/>
        <v>24</v>
      </c>
      <c r="E23" s="25" t="str">
        <f ca="1">IF(D23=1,B15,IF(D23=2,B16,IF(D23=3,B17,IF(D23=4,B18,IF(D23=5,B19,IF(D23=6,B20,IF(D23=7,B21,IF(D23=8,B22,IF(D23=9,B23,IF(D23=10,B24,IF(D23=11,B25,IF(D23=12,B26,IF(D23=13,B27,IF(D23=14,B28,IF(D23=15,B29,IF(D23=16,B30,IF(D23=17,B31,IF(D23=18,B32,IF(D23=19,B33,IF(D23=20,B34,IF(D23=21,B35,IF(D23=22,B36,IF(D23=23,B37,IF(D23=24,B38))))))))))))))))))))))))</f>
        <v>Virginia Carolina</v>
      </c>
      <c r="F23" s="24"/>
    </row>
    <row r="24" spans="1:6" ht="15.75" customHeight="1" x14ac:dyDescent="0.25">
      <c r="A24" s="32">
        <v>10</v>
      </c>
      <c r="B24" s="29" t="s">
        <v>57</v>
      </c>
      <c r="C24" s="32">
        <f t="shared" ca="1" si="2"/>
        <v>0.13720768224543789</v>
      </c>
      <c r="D24" s="25">
        <f t="shared" ca="1" si="3"/>
        <v>17</v>
      </c>
      <c r="E24" s="32" t="str">
        <f ca="1">IF(D24=1,B15,IF(D24=2,B16,IF(D24=3,B17,IF(D24=4,B18,IF(D24=5,B19,IF(D24=6,B20,IF(D24=7,B21,IF(D24=8,B22,IF(D24=9,B23,IF(D24=10,B24,IF(D24=11,B25,IF(D24=12,B26,IF(D24=13,B27,IF(D24=14,B28,IF(D24=15,B29,IF(D24=16,B30,IF(D24=17,B31,IF(D24=18,B32,IF(D24=19,B33,IF(D24=20,B34,IF(D24=21,B35,IF(D24=22,B36,IF(D24=23,B37,IF(D24=24,B38))))))))))))))))))))))))</f>
        <v>José Miraye</v>
      </c>
      <c r="F24" s="24"/>
    </row>
    <row r="25" spans="1:6" ht="15.75" customHeight="1" x14ac:dyDescent="0.25">
      <c r="A25" s="25">
        <v>11</v>
      </c>
      <c r="B25" s="28" t="s">
        <v>58</v>
      </c>
      <c r="C25" s="25">
        <f t="shared" ca="1" si="2"/>
        <v>0.87372815371324319</v>
      </c>
      <c r="D25" s="25">
        <f t="shared" ca="1" si="3"/>
        <v>3</v>
      </c>
      <c r="E25" s="25" t="str">
        <f ca="1">IF(D25=1,B15,IF(D25=2,B16,IF(D25=3,B17,IF(D25=4,B18,IF(D25=5,B19,IF(D25=6,B20,IF(D25=7,B21,IF(D25=8,B22,IF(D25=9,B23,IF(D25=10,B24,IF(D25=11,B25,IF(D25=12,B26,IF(D25=13,B27,IF(D25=14,B28,IF(D25=15,B29,IF(D25=16,B30,IF(D25=17,B31,IF(D25=18,B32,IF(D25=19,B33,IF(D25=20,B34,IF(D25=21,B35,IF(D25=22,B36,IF(D25=23,B37,IF(D25=24,B38))))))))))))))))))))))))</f>
        <v>Angela George</v>
      </c>
      <c r="F25" s="24"/>
    </row>
    <row r="26" spans="1:6" ht="15.75" customHeight="1" x14ac:dyDescent="0.25">
      <c r="A26" s="32">
        <v>12</v>
      </c>
      <c r="B26" s="32" t="s">
        <v>59</v>
      </c>
      <c r="C26" s="32">
        <f t="shared" ca="1" si="2"/>
        <v>0.1129648932075058</v>
      </c>
      <c r="D26" s="25">
        <f t="shared" ca="1" si="3"/>
        <v>18</v>
      </c>
      <c r="E26" s="32" t="str">
        <f ca="1">IF(D26=1,B15,IF(D26=2,B16,IF(D26=3,B17,IF(D26=4,B18,IF(D26=5,B19,IF(D26=6,B20,IF(D26=7,B21,IF(D26=8,B22,IF(D26=9,B23,IF(D26=10,B24,IF(D26=11,B25,IF(D26=12,B26,IF(D26=13,B27,IF(D26=14,B28,IF(D26=15,B29,IF(D26=16,B30,IF(D26=17,B31,IF(D26=18,B32,IF(D26=19,B33,IF(D26=20,B34,IF(D26=21,B35,IF(D26=22,B36,IF(D26=23,B37,IF(D26=24,B38))))))))))))))))))))))))</f>
        <v>Kensy Esperanza Cabrera</v>
      </c>
    </row>
    <row r="27" spans="1:6" ht="15.75" customHeight="1" x14ac:dyDescent="0.25">
      <c r="A27" s="25">
        <v>13</v>
      </c>
      <c r="B27" s="25" t="s">
        <v>38</v>
      </c>
      <c r="C27" s="25">
        <f t="shared" ca="1" si="2"/>
        <v>0.86631779711754708</v>
      </c>
      <c r="D27" s="25">
        <f t="shared" ca="1" si="3"/>
        <v>4</v>
      </c>
      <c r="E27" s="25" t="str">
        <f ca="1">IF(D27=1,B15,IF(D27=2,B16,IF(D27=3,B17,IF(D27=4,B18,IF(D27=5,B19,IF(D27=6,B20,IF(D27=7,B21,IF(D27=8,B22,IF(D27=9,B23,IF(D27=10,B24,IF(D27=11,B25,IF(D27=12,B26,IF(D27=13,B27,IF(D27=14,B28,IF(D27=15,B29,IF(D27=16,B30,IF(D27=17,B31,IF(D27=18,B32,IF(D27=19,B33,IF(D27=20,B34,IF(D27=21,B35,IF(D27=22,B36,IF(D27=23,B37,IF(D27=24,B38))))))))))))))))))))))))</f>
        <v>Antonia Polanco P.</v>
      </c>
    </row>
    <row r="28" spans="1:6" ht="15.75" customHeight="1" x14ac:dyDescent="0.25">
      <c r="A28" s="32">
        <v>14</v>
      </c>
      <c r="B28" s="32" t="s">
        <v>60</v>
      </c>
      <c r="C28" s="32">
        <f t="shared" ca="1" si="2"/>
        <v>0.71795641975572611</v>
      </c>
      <c r="D28" s="25">
        <f t="shared" ca="1" si="3"/>
        <v>7</v>
      </c>
      <c r="E28" s="32" t="str">
        <f ca="1">IF(D28=1,B15,IF(D28=2,B16,IF(D28=3,B17,IF(D28=4,B18,IF(D28=5,B19,IF(D28=6,B20,IF(D28=7,B21,IF(D28=8,B22,IF(D28=9,B23,IF(D28=10,B24,IF(D28=11,B25,IF(D28=12,B26,IF(D28=13,B27,IF(D28=14,B28,IF(D28=15,B29,IF(D28=16,B30,IF(D28=17,B31,IF(D28=18,B32,IF(D28=19,B33,IF(D28=20,B34,IF(D28=21,B35,IF(D28=22,B36,IF(D28=23,B37,IF(D28=24,B38))))))))))))))))))))))))</f>
        <v>Corina Altagracia Sosa</v>
      </c>
    </row>
    <row r="29" spans="1:6" ht="15.75" customHeight="1" x14ac:dyDescent="0.25">
      <c r="A29" s="25">
        <v>15</v>
      </c>
      <c r="B29" s="25" t="s">
        <v>61</v>
      </c>
      <c r="C29" s="25">
        <f t="shared" ca="1" si="2"/>
        <v>0.20789398184466634</v>
      </c>
      <c r="D29" s="25">
        <f t="shared" ca="1" si="3"/>
        <v>15</v>
      </c>
      <c r="E29" s="25" t="str">
        <f ca="1">IF(D29=1,B15,IF(D29=2,B16,IF(D29=3,B17,IF(D29=4,B18,IF(D29=5,B19,IF(D29=6,B20,IF(D29=7,B21,IF(D29=8,B22,IF(D29=9,B23,IF(D29=10,B24,IF(D29=11,B25,IF(D29=12,B26,IF(D29=13,B27,IF(D29=14,B28,IF(D29=15,B29,IF(D29=16,B30,IF(D29=17,B31,IF(D29=18,B32,IF(D29=19,B33,IF(D29=20,B34,IF(D29=21,B35,IF(D29=22,B36,IF(D29=23,B37,IF(D29=24,B38))))))))))))))))))))))))</f>
        <v>Hermes Moises Aibar Pontier</v>
      </c>
    </row>
    <row r="30" spans="1:6" ht="15.75" customHeight="1" x14ac:dyDescent="0.25">
      <c r="A30" s="32">
        <v>16</v>
      </c>
      <c r="B30" s="32" t="s">
        <v>42</v>
      </c>
      <c r="C30" s="32">
        <f t="shared" ca="1" si="2"/>
        <v>1.6825094900614901E-2</v>
      </c>
      <c r="D30" s="25">
        <f t="shared" ca="1" si="3"/>
        <v>23</v>
      </c>
      <c r="E30" s="32" t="str">
        <f ca="1">IF(D30=1,B15,IF(D30=2,B16,IF(D30=3,B17,IF(D30=4,B18,IF(D30=5,B19,IF(D30=6,B20,IF(D30=7,B21,IF(D30=8,B22,IF(D30=9,B23,IF(D30=10,B24,IF(D30=11,B25,IF(D30=12,B26,IF(D30=13,B27,IF(D30=14,B28,IF(D30=15,B29,IF(D30=16,B30,IF(D30=17,B31,IF(D30=18,B32,IF(D30=19,B33,IF(D30=20,B34,IF(D30=21,B35,IF(D30=22,B36,IF(D30=23,B37,IF(D30=24,B38))))))))))))))))))))))))</f>
        <v>Ruth Nathalie Veras Acosta</v>
      </c>
    </row>
    <row r="31" spans="1:6" ht="15.75" customHeight="1" x14ac:dyDescent="0.25">
      <c r="A31" s="25">
        <v>17</v>
      </c>
      <c r="B31" s="25" t="s">
        <v>62</v>
      </c>
      <c r="C31" s="25">
        <f t="shared" ca="1" si="2"/>
        <v>0.80423960078281498</v>
      </c>
      <c r="D31" s="25">
        <f t="shared" ca="1" si="3"/>
        <v>6</v>
      </c>
      <c r="E31" s="25" t="str">
        <f ca="1">IF(D31=1,B15,IF(D31=2,B16,IF(D31=3,B17,IF(D31=4,B18,IF(D31=5,B19,IF(D31=6,B20,IF(D31=7,B21,IF(D31=8,B22,IF(D31=9,B23,IF(D31=10,B24,IF(D31=11,B25,IF(D31=12,B26,IF(D31=13,B27,IF(D31=14,B28,IF(D31=15,B29,IF(D31=16,B30,IF(D31=17,B31,IF(D31=18,B32,IF(D31=19,B33,IF(D31=20,B34,IF(D31=21,B35,IF(D31=22,B36,IF(D31=23,B37,IF(D31=24,B38))))))))))))))))))))))))</f>
        <v>Celeste Regina Núñez Pujols</v>
      </c>
    </row>
    <row r="32" spans="1:6" ht="15.75" customHeight="1" x14ac:dyDescent="0.25">
      <c r="A32" s="32">
        <v>18</v>
      </c>
      <c r="B32" s="32" t="s">
        <v>64</v>
      </c>
      <c r="C32" s="32">
        <f t="shared" ca="1" si="2"/>
        <v>0.11238462049520648</v>
      </c>
      <c r="D32" s="25">
        <f t="shared" ca="1" si="3"/>
        <v>19</v>
      </c>
      <c r="E32" s="32" t="str">
        <f ca="1">IF(D32=1,B15,IF(D32=2,B16,IF(D32=3,B17,IF(D32=4,B18,IF(D32=5,B19,IF(D32=6,B20,IF(D32=7,B21,IF(D32=8,B22,IF(D32=9,B23,IF(D32=10,B24,IF(D32=11,B25,IF(D32=12,B26,IF(D32=13,B27,IF(D32=14,B28,IF(D32=15,B29,IF(D32=16,B30,IF(D32=17,B31,IF(D32=18,B32,IF(D32=19,B33,IF(D32=20,B34,IF(D32=21,B35,IF(D32=22,B36,IF(D32=23,B37,IF(D32=24,B38))))))))))))))))))))))))</f>
        <v>Luz Alexa Maria Sanchez</v>
      </c>
    </row>
    <row r="33" spans="1:5" ht="15.75" customHeight="1" x14ac:dyDescent="0.25">
      <c r="A33" s="25">
        <v>19</v>
      </c>
      <c r="B33" s="25" t="s">
        <v>65</v>
      </c>
      <c r="C33" s="25">
        <f t="shared" ca="1" si="2"/>
        <v>0.32712629941649729</v>
      </c>
      <c r="D33" s="25">
        <f t="shared" ca="1" si="3"/>
        <v>13</v>
      </c>
      <c r="E33" s="25" t="str">
        <f ca="1">IF(D33=1,B15,IF(D33=2,B16,IF(D33=3,B17,IF(D33=4,B18,IF(D33=5,B19,IF(D33=6,B20,IF(D33=7,B21,IF(D33=8,B22,IF(D33=9,B23,IF(D33=10,B24,IF(D33=11,B25,IF(D33=12,B26,IF(D33=13,B27,IF(D33=14,B28,IF(D33=15,B29,IF(D33=16,B30,IF(D33=17,B31,IF(D33=18,B32,IF(D33=19,B33,IF(D33=20,B34,IF(D33=21,B35,IF(D33=22,B36,IF(D33=23,B37,IF(D33=24,B38))))))))))))))))))))))))</f>
        <v>Euridisis Encarnación Reyes</v>
      </c>
    </row>
    <row r="34" spans="1:5" ht="15.75" customHeight="1" x14ac:dyDescent="0.25">
      <c r="A34" s="32">
        <v>20</v>
      </c>
      <c r="B34" s="32" t="s">
        <v>40</v>
      </c>
      <c r="C34" s="32">
        <f t="shared" ca="1" si="2"/>
        <v>0.41810264410850762</v>
      </c>
      <c r="D34" s="25">
        <f t="shared" ca="1" si="3"/>
        <v>11</v>
      </c>
      <c r="E34" s="32" t="str">
        <f ca="1">IF(D34=1,B15,IF(D34=2,B16,IF(D34=3,B17,IF(D34=4,B18,IF(D34=5,B19,IF(D34=6,B20,IF(D34=7,B21,IF(D34=8,B22,IF(D34=9,B23,IF(D34=10,B24,IF(D34=11,B25,IF(D34=12,B26,IF(D34=13,B27,IF(D34=14,B28,IF(D34=15,B29,IF(D34=16,B30,IF(D34=17,B31,IF(D34=18,B32,IF(D34=19,B33,IF(D34=20,B34,IF(D34=21,B35,IF(D34=22,B36,IF(D34=23,B37,IF(D34=24,B38))))))))))))))))))))))))</f>
        <v>Elimar Alvarez</v>
      </c>
    </row>
    <row r="35" spans="1:5" ht="15.75" customHeight="1" x14ac:dyDescent="0.25">
      <c r="A35" s="25">
        <v>21</v>
      </c>
      <c r="B35" s="25" t="s">
        <v>74</v>
      </c>
      <c r="C35" s="25">
        <f t="shared" ca="1" si="2"/>
        <v>0.20143503232926363</v>
      </c>
      <c r="D35" s="25">
        <f t="shared" ca="1" si="3"/>
        <v>16</v>
      </c>
      <c r="E35" s="25" t="str">
        <f ca="1">IF(D35=1,B15,IF(D35=2,B16,IF(D35=3,B17,IF(D35=4,B18,IF(D35=5,B19,IF(D35=6,B20,IF(D35=7,B21,IF(D35=8,B22,IF(D35=9,B23,IF(D35=10,B24,IF(D35=11,B25,IF(D35=12,B26,IF(D35=13,B27,IF(D35=14,B28,IF(D35=15,B29,IF(D35=16,B30,IF(D35=17,B31,IF(D35=18,B32,IF(D35=19,B33,IF(D35=20,B34,IF(D35=21,B35,IF(D35=22,B36,IF(D35=23,B37,IF(D35=24,B38))))))))))))))))))))))))</f>
        <v>Isabel Concepción</v>
      </c>
    </row>
    <row r="36" spans="1:5" ht="15.75" customHeight="1" x14ac:dyDescent="0.25">
      <c r="A36" s="32">
        <v>22</v>
      </c>
      <c r="B36" s="32" t="s">
        <v>75</v>
      </c>
      <c r="C36" s="32">
        <f t="shared" ca="1" si="2"/>
        <v>0.6548447446888408</v>
      </c>
      <c r="D36" s="25">
        <f t="shared" ca="1" si="3"/>
        <v>9</v>
      </c>
      <c r="E36" s="32" t="str">
        <f ca="1">IF(D36=1,B15,IF(D36=2,B16,IF(D36=3,B17,IF(D36=4,B18,IF(D36=5,B19,IF(D36=6,B20,IF(D36=7,B21,IF(D36=8,B22,IF(D36=9,B23,IF(D36=10,B24,IF(D36=11,B25,IF(D36=12,B26,IF(D36=13,B27,IF(D36=14,B28,IF(D36=15,B29,IF(D36=16,B30,IF(D36=17,B31,IF(D36=18,B32,IF(D36=19,B33,IF(D36=20,B34,IF(D36=21,B35,IF(D36=22,B36,IF(D36=23,B37,IF(D36=24,B38))))))))))))))))))))))))</f>
        <v>Daysi Francisca Garcia Vasquez</v>
      </c>
    </row>
    <row r="37" spans="1:5" ht="15.75" customHeight="1" x14ac:dyDescent="0.25">
      <c r="A37" s="25">
        <v>23</v>
      </c>
      <c r="B37" s="25" t="s">
        <v>76</v>
      </c>
      <c r="C37" s="25">
        <f t="shared" ca="1" si="2"/>
        <v>0.1057147967511276</v>
      </c>
      <c r="D37" s="25">
        <f t="shared" ca="1" si="3"/>
        <v>20</v>
      </c>
      <c r="E37" s="25" t="str">
        <f ca="1">IF(D37=1,B15,IF(D37=2,B16,IF(D37=3,B17,IF(D37=4,B18,IF(D37=5,B19,IF(D37=6,B20,IF(D37=7,B21,IF(D37=8,B22,IF(D37=9,B23,IF(D37=10,B24,IF(D37=11,B25,IF(D37=12,B26,IF(D37=13,B27,IF(D37=14,B28,IF(D37=15,B29,IF(D37=16,B30,IF(D37=17,B31,IF(D37=18,B32,IF(D37=19,B33,IF(D37=20,B34,IF(D37=21,B35,IF(D37=22,B36,IF(D37=23,B37,IF(D37=24,B38))))))))))))))))))))))))</f>
        <v>Maria Dolores de la Cruz Solano</v>
      </c>
    </row>
    <row r="38" spans="1:5" ht="15.75" customHeight="1" x14ac:dyDescent="0.25">
      <c r="A38" s="25">
        <v>24</v>
      </c>
      <c r="B38" s="25" t="s">
        <v>79</v>
      </c>
      <c r="C38" s="25">
        <f t="shared" ca="1" si="2"/>
        <v>0.98149024937795182</v>
      </c>
      <c r="D38" s="25">
        <f t="shared" ca="1" si="3"/>
        <v>1</v>
      </c>
      <c r="E38" s="25" t="str">
        <f ca="1">IF(D38=1,B15,IF(D38=2,B16,IF(D38=3,B17,IF(D38=4,B18,IF(D38=5,B19,IF(D38=6,B20,IF(D38=7,B21,IF(D38=8,B22,IF(D38=9,B23,IF(D38=10,B24,IF(D38=11,B25,IF(D38=12,B26,IF(D38=13,B27,IF(D38=14,B28,IF(D38=15,B29,IF(D38=16,B30,IF(D38=17,B31,IF(D38=18,B32,IF(D38=19,B33,IF(D38=20,B34,IF(D38=21,B35,IF(D38=22,B36,IF(D38=23,B37,IF(D38=24,B38))))))))))))))))))))))))</f>
        <v>Altagracia Vitello Guzman</v>
      </c>
    </row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11F37-2599-4641-BB7D-8D0C9E61FE2D}">
  <dimension ref="A1:H997"/>
  <sheetViews>
    <sheetView tabSelected="1" workbookViewId="0">
      <selection activeCell="C10" sqref="C10:E10"/>
    </sheetView>
  </sheetViews>
  <sheetFormatPr defaultColWidth="14.42578125" defaultRowHeight="15" customHeight="1" x14ac:dyDescent="0.25"/>
  <cols>
    <col min="1" max="1" width="1.28515625" customWidth="1"/>
    <col min="2" max="2" width="15.7109375" customWidth="1"/>
    <col min="3" max="8" width="38.7109375" customWidth="1"/>
    <col min="9" max="25" width="11.42578125" customWidth="1"/>
  </cols>
  <sheetData>
    <row r="1" spans="1:8" ht="37.5" customHeight="1" thickTop="1" thickBot="1" x14ac:dyDescent="0.55000000000000004">
      <c r="A1" s="33"/>
      <c r="B1" s="116" t="s">
        <v>104</v>
      </c>
      <c r="C1" s="117"/>
      <c r="D1" s="116" t="s">
        <v>383</v>
      </c>
      <c r="E1" s="129"/>
      <c r="F1" s="129"/>
      <c r="G1" s="129"/>
      <c r="H1" s="117"/>
    </row>
    <row r="2" spans="1:8" ht="37.5" customHeight="1" thickTop="1" thickBot="1" x14ac:dyDescent="0.55000000000000004">
      <c r="B2" s="74" t="s">
        <v>107</v>
      </c>
      <c r="C2" s="75" t="str">
        <f>CONCATENATE(Salmos!C11)</f>
        <v>Salmo 7</v>
      </c>
      <c r="D2" s="76" t="str">
        <f>CONCATENATE(Salmos!C11)</f>
        <v>Salmo 7</v>
      </c>
      <c r="E2" s="77" t="str">
        <f>CONCATENATE(Salmos!C11)</f>
        <v>Salmo 7</v>
      </c>
      <c r="F2" s="77" t="str">
        <f>CONCATENATE(Salmos!C11)</f>
        <v>Salmo 7</v>
      </c>
      <c r="G2" s="77" t="str">
        <f>CONCATENATE(Salmos!C11)</f>
        <v>Salmo 7</v>
      </c>
      <c r="H2" s="78" t="str">
        <f>CONCATENATE(Salmos!C11)</f>
        <v>Salmo 7</v>
      </c>
    </row>
    <row r="3" spans="1:8" ht="37.5" customHeight="1" thickTop="1" x14ac:dyDescent="0.25">
      <c r="B3" s="130" t="s">
        <v>109</v>
      </c>
      <c r="C3" s="142" t="str">
        <f ca="1">sMatrimonio!E2</f>
        <v>Alejandro Flaz &amp; Natalia García</v>
      </c>
      <c r="D3" s="64" t="str">
        <f ca="1">sMatrimonio!E15</f>
        <v>Eliezer Paniagua</v>
      </c>
      <c r="E3" s="142" t="str">
        <f ca="1">sMatrimonio!E3</f>
        <v>Angel Gabriel &amp; Yulissa Peña</v>
      </c>
      <c r="F3" s="64" t="str">
        <f ca="1">sMatrimonio!E16</f>
        <v>Enmanuel Gonzalez María</v>
      </c>
      <c r="G3" s="142" t="str">
        <f ca="1">sMatrimonio!E4</f>
        <v>Carlos David &amp; Rosa Dominguez</v>
      </c>
      <c r="H3" s="64" t="str">
        <f ca="1">sMatrimonio!E17</f>
        <v>Carmen Herminia Hernandez</v>
      </c>
    </row>
    <row r="4" spans="1:8" ht="37.5" customHeight="1" x14ac:dyDescent="0.25">
      <c r="B4" s="122"/>
      <c r="C4" s="64" t="str">
        <f ca="1">sMatrimonio!E18</f>
        <v>Criseida Sánchez</v>
      </c>
      <c r="D4" s="144" t="str">
        <f ca="1">sMatrimonio!E5</f>
        <v>Edwin García &amp; Sugey Padilla</v>
      </c>
      <c r="E4" s="64" t="str">
        <f ca="1">sMatrimonio!E19</f>
        <v>Rosa Oliva Sánchez Arias</v>
      </c>
      <c r="F4" s="144" t="str">
        <f ca="1">sMatrimonio!E6</f>
        <v>Mario de la Cruz &amp; Victoria Vasquez</v>
      </c>
      <c r="G4" s="64" t="str">
        <f ca="1">sMatrimonio!E20</f>
        <v>Ruth Divina Alcantara Arias</v>
      </c>
      <c r="H4" s="144" t="str">
        <f ca="1">sMatrimonio!E7</f>
        <v>Miguel Rodriguez &amp; Rosa Morillo | Mery</v>
      </c>
    </row>
    <row r="5" spans="1:8" ht="37.5" customHeight="1" x14ac:dyDescent="0.25">
      <c r="B5" s="122"/>
      <c r="C5" s="143" t="str">
        <f ca="1">sMatrimonio!E8</f>
        <v>Marcos Ventura &amp; Pilar Calcaño</v>
      </c>
      <c r="D5" s="80" t="str">
        <f ca="1">sMatrimonio!E21</f>
        <v>Angel Jeremias Florentino de Paula</v>
      </c>
      <c r="E5" s="143" t="str">
        <f ca="1">sMatrimonio!E9</f>
        <v>Carlos Guevara &amp; Arelis Lazala</v>
      </c>
      <c r="F5" s="80" t="str">
        <f ca="1">sMatrimonio!E22</f>
        <v>Gisela Antonia Gil</v>
      </c>
      <c r="G5" s="143" t="str">
        <f ca="1">sMatrimonio!E10</f>
        <v>Daniel Gonzalez &amp; Winny Lora</v>
      </c>
      <c r="H5" s="80" t="str">
        <f ca="1">sMatrimonio!E23</f>
        <v>Virginia Carolina</v>
      </c>
    </row>
    <row r="6" spans="1:8" ht="37.5" customHeight="1" x14ac:dyDescent="0.25">
      <c r="B6" s="122"/>
      <c r="C6" s="64" t="str">
        <f ca="1">sMatrimonio!E24</f>
        <v>José Miraye</v>
      </c>
      <c r="D6" s="145" t="str">
        <f ca="1">sMatrimonio!E11</f>
        <v>Dionis Alcantara &amp; Ana Yulis</v>
      </c>
      <c r="E6" s="64" t="str">
        <f ca="1">sMatrimonio!E25</f>
        <v>Angela George</v>
      </c>
      <c r="F6" s="145" t="str">
        <f ca="1">sMatrimonio!E12</f>
        <v>Juan Isidro &amp; Sindy Núñez</v>
      </c>
      <c r="G6" s="64" t="str">
        <f ca="1">sMatrimonio!E26</f>
        <v>Kensy Esperanza Cabrera</v>
      </c>
      <c r="H6" s="81" t="str">
        <f ca="1">sMatrimonio!E27</f>
        <v>Antonia Polanco P.</v>
      </c>
    </row>
    <row r="7" spans="1:8" ht="37.5" customHeight="1" x14ac:dyDescent="0.25">
      <c r="B7" s="122"/>
      <c r="C7" s="58" t="str">
        <f ca="1">sMatrimonio!E28</f>
        <v>Corina Altagracia Sosa</v>
      </c>
      <c r="D7" s="80" t="str">
        <f ca="1">sMatrimonio!E29</f>
        <v>Hermes Moises Aibar Pontier</v>
      </c>
      <c r="E7" s="58" t="str">
        <f ca="1">sMatrimonio!E30</f>
        <v>Ruth Nathalie Veras Acosta</v>
      </c>
      <c r="F7" s="80" t="str">
        <f ca="1">sMatrimonio!E31</f>
        <v>Celeste Regina Núñez Pujols</v>
      </c>
      <c r="G7" s="58" t="str">
        <f ca="1">sMatrimonio!E32</f>
        <v>Luz Alexa Maria Sanchez</v>
      </c>
      <c r="H7" s="80" t="str">
        <f ca="1">sMatrimonio!E33</f>
        <v>Euridisis Encarnación Reyes</v>
      </c>
    </row>
    <row r="8" spans="1:8" ht="37.5" customHeight="1" thickBot="1" x14ac:dyDescent="0.3">
      <c r="B8" s="123"/>
      <c r="C8" s="82" t="str">
        <f ca="1">sMatrimonio!E34</f>
        <v>Elimar Alvarez</v>
      </c>
      <c r="D8" s="67" t="str">
        <f ca="1">sMatrimonio!E35</f>
        <v>Isabel Concepción</v>
      </c>
      <c r="E8" s="82" t="str">
        <f ca="1">sMatrimonio!E36</f>
        <v>Daysi Francisca Garcia Vasquez</v>
      </c>
      <c r="F8" s="67" t="str">
        <f ca="1">sMatrimonio!E37</f>
        <v>Maria Dolores de la Cruz Solano</v>
      </c>
      <c r="G8" s="82"/>
      <c r="H8" s="67" t="str">
        <f ca="1">sMatrimonio!E38</f>
        <v>Altagracia Vitello Guzman</v>
      </c>
    </row>
    <row r="9" spans="1:8" ht="15" customHeight="1" thickTop="1" x14ac:dyDescent="0.25"/>
    <row r="10" spans="1:8" ht="26.25" x14ac:dyDescent="0.4">
      <c r="C10" s="124" t="s">
        <v>382</v>
      </c>
      <c r="D10" s="125"/>
      <c r="E10" s="125"/>
    </row>
    <row r="11" spans="1:8" ht="31.5" x14ac:dyDescent="0.5">
      <c r="C11" s="141" t="s">
        <v>237</v>
      </c>
    </row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4">
    <mergeCell ref="B1:C1"/>
    <mergeCell ref="D1:H1"/>
    <mergeCell ref="B3:B8"/>
    <mergeCell ref="C10:E10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C04D3B1F-03C6-4593-826A-016BA5704A75}">
          <x14:formula1>
            <xm:f>Temas!$A$49:$A$198</xm:f>
          </x14:formula1>
          <xm:sqref>C11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97"/>
  <sheetViews>
    <sheetView workbookViewId="0">
      <selection activeCell="C11" sqref="C11"/>
    </sheetView>
  </sheetViews>
  <sheetFormatPr defaultColWidth="14.42578125" defaultRowHeight="15" customHeight="1" x14ac:dyDescent="0.25"/>
  <cols>
    <col min="1" max="1" width="1.28515625" customWidth="1"/>
    <col min="2" max="2" width="15.7109375" customWidth="1"/>
    <col min="3" max="8" width="38.7109375" customWidth="1"/>
    <col min="9" max="25" width="11.42578125" customWidth="1"/>
  </cols>
  <sheetData>
    <row r="1" spans="1:8" ht="37.5" customHeight="1" x14ac:dyDescent="0.5">
      <c r="A1" s="33"/>
      <c r="B1" s="116" t="s">
        <v>104</v>
      </c>
      <c r="C1" s="117"/>
      <c r="D1" s="116" t="s">
        <v>163</v>
      </c>
      <c r="E1" s="129"/>
      <c r="F1" s="129"/>
      <c r="G1" s="129"/>
      <c r="H1" s="117"/>
    </row>
    <row r="2" spans="1:8" ht="37.5" customHeight="1" x14ac:dyDescent="0.5">
      <c r="B2" s="74" t="s">
        <v>107</v>
      </c>
      <c r="C2" s="75" t="str">
        <f>CONCATENATE(xMatrimonio!C11)</f>
        <v>Saúl</v>
      </c>
      <c r="D2" s="76" t="str">
        <f>CONCATENATE(xMatrimonio!C11)</f>
        <v>Saúl</v>
      </c>
      <c r="E2" s="77" t="str">
        <f>CONCATENATE(xMatrimonio!C11)</f>
        <v>Saúl</v>
      </c>
      <c r="F2" s="77" t="str">
        <f>CONCATENATE(xMatrimonio!C11)</f>
        <v>Saúl</v>
      </c>
      <c r="G2" s="77" t="str">
        <f>CONCATENATE(xMatrimonio!C11)</f>
        <v>Saúl</v>
      </c>
      <c r="H2" s="78" t="str">
        <f>CONCATENATE(xMatrimonio!C11)</f>
        <v>Saúl</v>
      </c>
    </row>
    <row r="3" spans="1:8" ht="37.5" customHeight="1" x14ac:dyDescent="0.25">
      <c r="B3" s="130" t="s">
        <v>109</v>
      </c>
      <c r="C3" s="54" t="str">
        <f ca="1">sMatrimonio!E2</f>
        <v>Alejandro Flaz &amp; Natalia García</v>
      </c>
      <c r="D3" s="64" t="str">
        <f ca="1">sMatrimonio!E15</f>
        <v>Eliezer Paniagua</v>
      </c>
      <c r="E3" s="54" t="str">
        <f ca="1">sMatrimonio!E3</f>
        <v>Angel Gabriel &amp; Yulissa Peña</v>
      </c>
      <c r="F3" s="64" t="str">
        <f ca="1">sMatrimonio!E16</f>
        <v>Enmanuel Gonzalez María</v>
      </c>
      <c r="G3" s="54" t="str">
        <f ca="1">sMatrimonio!E4</f>
        <v>Carlos David &amp; Rosa Dominguez</v>
      </c>
      <c r="H3" s="64" t="str">
        <f ca="1">sMatrimonio!E17</f>
        <v>Carmen Herminia Hernandez</v>
      </c>
    </row>
    <row r="4" spans="1:8" ht="37.5" customHeight="1" x14ac:dyDescent="0.25">
      <c r="B4" s="122"/>
      <c r="C4" s="64" t="str">
        <f ca="1">sMatrimonio!E18</f>
        <v>Criseida Sánchez</v>
      </c>
      <c r="D4" s="79" t="str">
        <f ca="1">sMatrimonio!E5</f>
        <v>Edwin García &amp; Sugey Padilla</v>
      </c>
      <c r="E4" s="64" t="str">
        <f ca="1">sMatrimonio!E19</f>
        <v>Rosa Oliva Sánchez Arias</v>
      </c>
      <c r="F4" s="79" t="str">
        <f ca="1">sMatrimonio!E6</f>
        <v>Mario de la Cruz &amp; Victoria Vasquez</v>
      </c>
      <c r="G4" s="64" t="str">
        <f ca="1">sMatrimonio!E20</f>
        <v>Ruth Divina Alcantara Arias</v>
      </c>
      <c r="H4" s="79" t="str">
        <f ca="1">sMatrimonio!E7</f>
        <v>Miguel Rodriguez &amp; Rosa Morillo | Mery</v>
      </c>
    </row>
    <row r="5" spans="1:8" ht="37.5" customHeight="1" x14ac:dyDescent="0.25">
      <c r="B5" s="122"/>
      <c r="C5" s="58" t="str">
        <f ca="1">sMatrimonio!E8</f>
        <v>Marcos Ventura &amp; Pilar Calcaño</v>
      </c>
      <c r="D5" s="80" t="str">
        <f ca="1">sMatrimonio!E21</f>
        <v>Angel Jeremias Florentino de Paula</v>
      </c>
      <c r="E5" s="58" t="str">
        <f ca="1">sMatrimonio!E9</f>
        <v>Carlos Guevara &amp; Arelis Lazala</v>
      </c>
      <c r="F5" s="80" t="str">
        <f ca="1">sMatrimonio!E22</f>
        <v>Gisela Antonia Gil</v>
      </c>
      <c r="G5" s="58" t="str">
        <f ca="1">sMatrimonio!E10</f>
        <v>Daniel Gonzalez &amp; Winny Lora</v>
      </c>
      <c r="H5" s="80" t="str">
        <f ca="1">sMatrimonio!E23</f>
        <v>Virginia Carolina</v>
      </c>
    </row>
    <row r="6" spans="1:8" ht="37.5" customHeight="1" x14ac:dyDescent="0.25">
      <c r="B6" s="122"/>
      <c r="C6" s="64" t="str">
        <f ca="1">sMatrimonio!E24</f>
        <v>José Miraye</v>
      </c>
      <c r="D6" s="81" t="str">
        <f ca="1">sMatrimonio!E11</f>
        <v>Dionis Alcantara &amp; Ana Yulis</v>
      </c>
      <c r="E6" s="64" t="str">
        <f ca="1">sMatrimonio!E25</f>
        <v>Angela George</v>
      </c>
      <c r="F6" s="81" t="str">
        <f ca="1">sMatrimonio!E12</f>
        <v>Juan Isidro &amp; Sindy Núñez</v>
      </c>
      <c r="G6" s="64" t="str">
        <f ca="1">sMatrimonio!E26</f>
        <v>Kensy Esperanza Cabrera</v>
      </c>
      <c r="H6" s="81" t="str">
        <f ca="1">sMatrimonio!E27</f>
        <v>Antonia Polanco P.</v>
      </c>
    </row>
    <row r="7" spans="1:8" ht="37.5" customHeight="1" x14ac:dyDescent="0.25">
      <c r="B7" s="122"/>
      <c r="C7" s="58" t="str">
        <f ca="1">sMatrimonio!E28</f>
        <v>Corina Altagracia Sosa</v>
      </c>
      <c r="D7" s="80" t="str">
        <f ca="1">sMatrimonio!E29</f>
        <v>Hermes Moises Aibar Pontier</v>
      </c>
      <c r="E7" s="58" t="str">
        <f ca="1">sMatrimonio!E30</f>
        <v>Ruth Nathalie Veras Acosta</v>
      </c>
      <c r="F7" s="80" t="str">
        <f ca="1">sMatrimonio!E31</f>
        <v>Celeste Regina Núñez Pujols</v>
      </c>
      <c r="G7" s="58" t="str">
        <f ca="1">sMatrimonio!E32</f>
        <v>Luz Alexa Maria Sanchez</v>
      </c>
      <c r="H7" s="80" t="str">
        <f ca="1">sMatrimonio!E33</f>
        <v>Euridisis Encarnación Reyes</v>
      </c>
    </row>
    <row r="8" spans="1:8" ht="37.5" customHeight="1" x14ac:dyDescent="0.25">
      <c r="B8" s="123"/>
      <c r="C8" s="82" t="str">
        <f ca="1">sMatrimonio!E34</f>
        <v>Elimar Alvarez</v>
      </c>
      <c r="D8" s="67" t="str">
        <f ca="1">sMatrimonio!E35</f>
        <v>Isabel Concepción</v>
      </c>
      <c r="E8" s="82" t="str">
        <f ca="1">sMatrimonio!E36</f>
        <v>Daysi Francisca Garcia Vasquez</v>
      </c>
      <c r="F8" s="67" t="str">
        <f ca="1">sMatrimonio!E37</f>
        <v>Maria Dolores de la Cruz Solano</v>
      </c>
      <c r="G8" s="82" t="str">
        <f ca="1">sMatrimonio!E38</f>
        <v>Altagracia Vitello Guzman</v>
      </c>
      <c r="H8" s="67"/>
    </row>
    <row r="10" spans="1:8" ht="26.25" x14ac:dyDescent="0.4">
      <c r="C10" s="124" t="s">
        <v>164</v>
      </c>
      <c r="D10" s="125"/>
      <c r="E10" s="125"/>
    </row>
    <row r="11" spans="1:8" x14ac:dyDescent="0.25">
      <c r="C11" s="70" t="s">
        <v>138</v>
      </c>
    </row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4">
    <mergeCell ref="B1:C1"/>
    <mergeCell ref="D1:H1"/>
    <mergeCell ref="B3:B8"/>
    <mergeCell ref="C10:E10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00000000-0002-0000-0400-000000000000}">
          <x14:formula1>
            <xm:f>Temas!$A:$A</xm:f>
          </x14:formula1>
          <xm:sqref>C11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996"/>
  <sheetViews>
    <sheetView workbookViewId="0"/>
  </sheetViews>
  <sheetFormatPr defaultColWidth="14.42578125" defaultRowHeight="15" customHeight="1" x14ac:dyDescent="0.25"/>
  <cols>
    <col min="1" max="1" width="1.28515625" customWidth="1"/>
    <col min="2" max="2" width="17.85546875" customWidth="1"/>
    <col min="3" max="8" width="36" customWidth="1"/>
    <col min="9" max="26" width="11.42578125" customWidth="1"/>
  </cols>
  <sheetData>
    <row r="1" spans="2:9" ht="61.5" x14ac:dyDescent="0.9">
      <c r="B1" s="131" t="s">
        <v>104</v>
      </c>
      <c r="C1" s="117"/>
      <c r="D1" s="132" t="s">
        <v>165</v>
      </c>
      <c r="E1" s="133"/>
      <c r="F1" s="133"/>
      <c r="G1" s="133"/>
      <c r="H1" s="134"/>
    </row>
    <row r="2" spans="2:9" ht="33.75" x14ac:dyDescent="0.5">
      <c r="B2" s="83"/>
      <c r="C2" s="84">
        <f t="shared" ref="C2:H2" ca="1" si="0">RANK(C3,$C$3:$H$3)</f>
        <v>6</v>
      </c>
      <c r="D2" s="85">
        <f t="shared" ca="1" si="0"/>
        <v>5</v>
      </c>
      <c r="E2" s="85">
        <f t="shared" ca="1" si="0"/>
        <v>3</v>
      </c>
      <c r="F2" s="85">
        <f t="shared" ca="1" si="0"/>
        <v>4</v>
      </c>
      <c r="G2" s="35">
        <f t="shared" ca="1" si="0"/>
        <v>1</v>
      </c>
      <c r="H2" s="86">
        <f t="shared" ca="1" si="0"/>
        <v>2</v>
      </c>
      <c r="I2" s="87"/>
    </row>
    <row r="3" spans="2:9" ht="33.75" hidden="1" x14ac:dyDescent="0.5">
      <c r="B3" s="88"/>
      <c r="C3" s="89">
        <f t="shared" ref="C3:H3" ca="1" si="1">RAND()</f>
        <v>8.052416664078188E-2</v>
      </c>
      <c r="D3" s="19">
        <f t="shared" ca="1" si="1"/>
        <v>0.37220501395419825</v>
      </c>
      <c r="E3" s="19">
        <f t="shared" ca="1" si="1"/>
        <v>0.74114681511402236</v>
      </c>
      <c r="F3" s="19">
        <f t="shared" ca="1" si="1"/>
        <v>0.61753551062687018</v>
      </c>
      <c r="G3" s="19">
        <f t="shared" ca="1" si="1"/>
        <v>0.96732557322128676</v>
      </c>
      <c r="H3" s="90">
        <f t="shared" ca="1" si="1"/>
        <v>0.87213724567861717</v>
      </c>
    </row>
    <row r="4" spans="2:9" ht="46.5" x14ac:dyDescent="0.25">
      <c r="B4" s="91" t="s">
        <v>4</v>
      </c>
      <c r="C4" s="92" t="s">
        <v>85</v>
      </c>
      <c r="D4" s="93" t="s">
        <v>87</v>
      </c>
      <c r="E4" s="93" t="s">
        <v>89</v>
      </c>
      <c r="F4" s="92" t="s">
        <v>51</v>
      </c>
      <c r="G4" s="93" t="str">
        <f ca="1">sReponsables!F8</f>
        <v>Angel Gabriel &amp; Yulissa Peña</v>
      </c>
      <c r="H4" s="93" t="str">
        <f ca="1">sReponsables!F9</f>
        <v>Dionis Alcantara &amp; Ana Yulis</v>
      </c>
    </row>
    <row r="5" spans="2:9" ht="37.5" customHeight="1" x14ac:dyDescent="0.25">
      <c r="B5" s="135" t="s">
        <v>109</v>
      </c>
      <c r="C5" s="94" t="str">
        <f ca="1">sReponsables!F10</f>
        <v>Carlos David &amp; Rosa Dominguez</v>
      </c>
      <c r="D5" s="64" t="str">
        <f ca="1">sReponsables!F11</f>
        <v>Mario de la Cruz &amp; Victoria Vasquez</v>
      </c>
      <c r="E5" s="64" t="str">
        <f ca="1">sReponsables!F12</f>
        <v>Alejandro Flaz &amp; Natalia García</v>
      </c>
      <c r="F5" s="64" t="str">
        <f ca="1">sReponsables!F13</f>
        <v>Juan Isidro &amp; Sindy Núñez</v>
      </c>
      <c r="G5" s="80" t="str">
        <f ca="1">sReponsables!F14</f>
        <v>Marcos Ventura &amp; Pilar Calcaño</v>
      </c>
      <c r="H5" s="64" t="str">
        <f ca="1">sReponsables!F15</f>
        <v>Daniel Gonzalez &amp; Winny Lora</v>
      </c>
    </row>
    <row r="6" spans="2:9" ht="37.5" customHeight="1" x14ac:dyDescent="0.25">
      <c r="B6" s="136"/>
      <c r="C6" s="58" t="str">
        <f ca="1">sReponsables!F18</f>
        <v>Ruth Divina Alcantara Arias</v>
      </c>
      <c r="D6" s="61" t="str">
        <f ca="1">sReponsables!F19</f>
        <v>Rosa Oliva Sánchez Arias</v>
      </c>
      <c r="E6" s="81" t="str">
        <f ca="1">sReponsables!F20</f>
        <v>Luz Alexa Maria Sanchez</v>
      </c>
      <c r="F6" s="61" t="str">
        <f ca="1">sReponsables!F21</f>
        <v>Enmanuel Gonzalez María</v>
      </c>
      <c r="G6" s="81" t="str">
        <f ca="1">sReponsables!F22</f>
        <v>Daysi Francisca Garcia Vasquez</v>
      </c>
      <c r="H6" s="61" t="str">
        <f ca="1">sReponsables!F23</f>
        <v>Hermes Moises Aibar Pontier</v>
      </c>
    </row>
    <row r="7" spans="2:9" ht="37.5" customHeight="1" x14ac:dyDescent="0.25">
      <c r="B7" s="136"/>
      <c r="C7" s="59" t="str">
        <f ca="1">sReponsables!F24</f>
        <v>Maria Dolores de la Cruz Solano</v>
      </c>
      <c r="D7" s="64" t="str">
        <f ca="1">sReponsables!F25</f>
        <v>Antonia Polanco P.</v>
      </c>
      <c r="E7" s="80" t="str">
        <f ca="1">sReponsables!F26</f>
        <v>Gisela Antonia Gil</v>
      </c>
      <c r="F7" s="64" t="str">
        <f ca="1">sReponsables!F27</f>
        <v>Virginia Carolina</v>
      </c>
      <c r="G7" s="80" t="str">
        <f ca="1">sReponsables!F28</f>
        <v>Angel Jeremias Florentino de Paula</v>
      </c>
      <c r="H7" s="64" t="str">
        <f ca="1">sReponsables!F29</f>
        <v>Isabel Concepción</v>
      </c>
    </row>
    <row r="8" spans="2:9" ht="37.5" customHeight="1" x14ac:dyDescent="0.25">
      <c r="B8" s="136"/>
      <c r="C8" s="59" t="str">
        <f ca="1">sReponsables!F30</f>
        <v>José Miraye</v>
      </c>
      <c r="D8" s="64" t="str">
        <f ca="1">sReponsables!F31</f>
        <v>Altagracia Vitello Guzman</v>
      </c>
      <c r="E8" s="80" t="str">
        <f ca="1">sReponsables!F32</f>
        <v>Angela George</v>
      </c>
      <c r="F8" s="64" t="str">
        <f ca="1">sReponsables!F33</f>
        <v>Elimar Alvarez</v>
      </c>
      <c r="G8" s="80" t="str">
        <f ca="1">sReponsables!F34</f>
        <v>Corina Altagracia Sosa</v>
      </c>
      <c r="H8" s="64" t="str">
        <f ca="1">sReponsables!F35</f>
        <v>Eliezer Paniagua</v>
      </c>
    </row>
    <row r="9" spans="2:9" ht="37.5" customHeight="1" x14ac:dyDescent="0.25">
      <c r="B9" s="137"/>
      <c r="C9" s="67" t="str">
        <f ca="1">sReponsables!F36</f>
        <v>Euridisis Encarnación Reyes</v>
      </c>
      <c r="D9" s="69" t="str">
        <f ca="1">sReponsables!F37</f>
        <v>Ruth Nathalie Veras Acosta</v>
      </c>
      <c r="E9" s="95"/>
      <c r="F9" s="69" t="str">
        <f ca="1">sReponsables!F38</f>
        <v>Carmen Herminia Hernandez</v>
      </c>
      <c r="G9" s="96" t="str">
        <f ca="1">sReponsables!F39</f>
        <v>Celeste Regina Núñez Pujols</v>
      </c>
      <c r="H9" s="69"/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3">
    <mergeCell ref="B1:C1"/>
    <mergeCell ref="D1:H1"/>
    <mergeCell ref="B5:B9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1"/>
  <sheetViews>
    <sheetView topLeftCell="A163" workbookViewId="0">
      <selection activeCell="A49" sqref="A49:A198"/>
    </sheetView>
  </sheetViews>
  <sheetFormatPr defaultColWidth="14.42578125" defaultRowHeight="15" customHeight="1" x14ac:dyDescent="0.25"/>
  <cols>
    <col min="1" max="1" width="17" customWidth="1"/>
    <col min="2" max="2" width="13.85546875" customWidth="1"/>
    <col min="3" max="26" width="9.140625" customWidth="1"/>
  </cols>
  <sheetData>
    <row r="1" spans="1:4" x14ac:dyDescent="0.25">
      <c r="A1" s="24" t="s">
        <v>113</v>
      </c>
      <c r="B1" s="19" t="s">
        <v>166</v>
      </c>
    </row>
    <row r="2" spans="1:4" x14ac:dyDescent="0.25">
      <c r="A2" s="24" t="s">
        <v>117</v>
      </c>
      <c r="B2" s="19" t="s">
        <v>166</v>
      </c>
    </row>
    <row r="3" spans="1:4" x14ac:dyDescent="0.25">
      <c r="A3" s="24" t="s">
        <v>121</v>
      </c>
      <c r="B3" s="19" t="s">
        <v>166</v>
      </c>
    </row>
    <row r="4" spans="1:4" x14ac:dyDescent="0.25">
      <c r="A4" s="24" t="s">
        <v>125</v>
      </c>
      <c r="B4" s="19" t="s">
        <v>166</v>
      </c>
    </row>
    <row r="5" spans="1:4" x14ac:dyDescent="0.25">
      <c r="A5" s="24" t="s">
        <v>129</v>
      </c>
      <c r="B5" s="19" t="s">
        <v>166</v>
      </c>
    </row>
    <row r="6" spans="1:4" x14ac:dyDescent="0.25">
      <c r="A6" s="24" t="s">
        <v>133</v>
      </c>
      <c r="B6" s="19" t="s">
        <v>166</v>
      </c>
    </row>
    <row r="7" spans="1:4" x14ac:dyDescent="0.25">
      <c r="A7" s="24" t="s">
        <v>137</v>
      </c>
      <c r="B7" s="19" t="s">
        <v>166</v>
      </c>
    </row>
    <row r="8" spans="1:4" x14ac:dyDescent="0.25">
      <c r="A8" s="24" t="s">
        <v>141</v>
      </c>
      <c r="B8" s="19" t="s">
        <v>166</v>
      </c>
    </row>
    <row r="9" spans="1:4" x14ac:dyDescent="0.25">
      <c r="A9" s="24" t="s">
        <v>145</v>
      </c>
      <c r="B9" s="19" t="s">
        <v>166</v>
      </c>
    </row>
    <row r="10" spans="1:4" x14ac:dyDescent="0.25">
      <c r="A10" s="24" t="s">
        <v>148</v>
      </c>
      <c r="B10" s="19" t="s">
        <v>167</v>
      </c>
    </row>
    <row r="11" spans="1:4" x14ac:dyDescent="0.25">
      <c r="A11" s="24" t="s">
        <v>151</v>
      </c>
      <c r="B11" s="19" t="s">
        <v>167</v>
      </c>
    </row>
    <row r="12" spans="1:4" x14ac:dyDescent="0.25">
      <c r="A12" s="24" t="s">
        <v>154</v>
      </c>
      <c r="B12" s="19" t="s">
        <v>167</v>
      </c>
    </row>
    <row r="13" spans="1:4" x14ac:dyDescent="0.25">
      <c r="A13" s="24" t="s">
        <v>157</v>
      </c>
      <c r="B13" s="19" t="s">
        <v>168</v>
      </c>
      <c r="D13" s="24"/>
    </row>
    <row r="14" spans="1:4" x14ac:dyDescent="0.25">
      <c r="A14" s="24" t="s">
        <v>114</v>
      </c>
      <c r="B14" s="19" t="str">
        <f t="shared" ref="B14:B20" si="0">B13</f>
        <v>Jueces</v>
      </c>
      <c r="D14" s="24"/>
    </row>
    <row r="15" spans="1:4" x14ac:dyDescent="0.25">
      <c r="A15" s="24" t="s">
        <v>118</v>
      </c>
      <c r="B15" s="19" t="str">
        <f t="shared" si="0"/>
        <v>Jueces</v>
      </c>
      <c r="D15" s="24"/>
    </row>
    <row r="16" spans="1:4" x14ac:dyDescent="0.25">
      <c r="A16" s="24" t="s">
        <v>122</v>
      </c>
      <c r="B16" s="19" t="str">
        <f t="shared" si="0"/>
        <v>Jueces</v>
      </c>
      <c r="D16" s="24"/>
    </row>
    <row r="17" spans="1:2" x14ac:dyDescent="0.25">
      <c r="A17" s="24" t="s">
        <v>126</v>
      </c>
      <c r="B17" s="19" t="str">
        <f t="shared" si="0"/>
        <v>Jueces</v>
      </c>
    </row>
    <row r="18" spans="1:2" x14ac:dyDescent="0.25">
      <c r="A18" s="24" t="s">
        <v>169</v>
      </c>
      <c r="B18" s="19" t="str">
        <f t="shared" si="0"/>
        <v>Jueces</v>
      </c>
    </row>
    <row r="19" spans="1:2" x14ac:dyDescent="0.25">
      <c r="A19" s="24" t="s">
        <v>170</v>
      </c>
      <c r="B19" s="19" t="str">
        <f t="shared" si="0"/>
        <v>Jueces</v>
      </c>
    </row>
    <row r="20" spans="1:2" x14ac:dyDescent="0.25">
      <c r="A20" s="24" t="s">
        <v>171</v>
      </c>
      <c r="B20" s="19" t="str">
        <f t="shared" si="0"/>
        <v>Jueces</v>
      </c>
    </row>
    <row r="21" spans="1:2" x14ac:dyDescent="0.25">
      <c r="A21" s="24" t="s">
        <v>138</v>
      </c>
      <c r="B21" s="19" t="s">
        <v>172</v>
      </c>
    </row>
    <row r="22" spans="1:2" ht="15.75" customHeight="1" x14ac:dyDescent="0.25">
      <c r="A22" s="24" t="s">
        <v>142</v>
      </c>
      <c r="B22" s="19" t="str">
        <f t="shared" ref="B22:B23" si="1">B21</f>
        <v>Reyes</v>
      </c>
    </row>
    <row r="23" spans="1:2" ht="15.75" customHeight="1" x14ac:dyDescent="0.25">
      <c r="A23" s="24" t="s">
        <v>146</v>
      </c>
      <c r="B23" s="19" t="str">
        <f t="shared" si="1"/>
        <v>Reyes</v>
      </c>
    </row>
    <row r="24" spans="1:2" ht="15.75" customHeight="1" x14ac:dyDescent="0.25">
      <c r="A24" s="24" t="s">
        <v>149</v>
      </c>
      <c r="B24" s="19" t="s">
        <v>173</v>
      </c>
    </row>
    <row r="25" spans="1:2" ht="15.75" customHeight="1" x14ac:dyDescent="0.25">
      <c r="A25" s="24" t="s">
        <v>152</v>
      </c>
      <c r="B25" s="19" t="str">
        <f>B24</f>
        <v>Profetas I</v>
      </c>
    </row>
    <row r="26" spans="1:2" ht="15.75" customHeight="1" x14ac:dyDescent="0.25">
      <c r="A26" s="24" t="s">
        <v>155</v>
      </c>
      <c r="B26" s="19" t="s">
        <v>174</v>
      </c>
    </row>
    <row r="27" spans="1:2" ht="15.75" customHeight="1" x14ac:dyDescent="0.25">
      <c r="A27" s="24" t="s">
        <v>158</v>
      </c>
      <c r="B27" s="19" t="s">
        <v>174</v>
      </c>
    </row>
    <row r="28" spans="1:2" ht="15.75" customHeight="1" x14ac:dyDescent="0.25">
      <c r="A28" s="24" t="s">
        <v>115</v>
      </c>
      <c r="B28" s="19" t="s">
        <v>174</v>
      </c>
    </row>
    <row r="29" spans="1:2" ht="15.75" customHeight="1" x14ac:dyDescent="0.25">
      <c r="A29" s="24" t="s">
        <v>119</v>
      </c>
      <c r="B29" s="19" t="s">
        <v>174</v>
      </c>
    </row>
    <row r="30" spans="1:2" ht="15.75" customHeight="1" x14ac:dyDescent="0.25">
      <c r="A30" s="24" t="s">
        <v>123</v>
      </c>
      <c r="B30" s="19" t="s">
        <v>175</v>
      </c>
    </row>
    <row r="31" spans="1:2" ht="15.75" customHeight="1" x14ac:dyDescent="0.25">
      <c r="A31" s="24" t="s">
        <v>127</v>
      </c>
      <c r="B31" s="19" t="str">
        <f t="shared" ref="B31:B46" si="2">B30</f>
        <v>Profetas II</v>
      </c>
    </row>
    <row r="32" spans="1:2" ht="15.75" customHeight="1" x14ac:dyDescent="0.25">
      <c r="A32" s="24" t="s">
        <v>131</v>
      </c>
      <c r="B32" s="19" t="str">
        <f t="shared" si="2"/>
        <v>Profetas II</v>
      </c>
    </row>
    <row r="33" spans="1:2" ht="15.75" customHeight="1" x14ac:dyDescent="0.25">
      <c r="A33" s="24" t="s">
        <v>135</v>
      </c>
      <c r="B33" s="19" t="str">
        <f t="shared" si="2"/>
        <v>Profetas II</v>
      </c>
    </row>
    <row r="34" spans="1:2" ht="15.75" customHeight="1" x14ac:dyDescent="0.25">
      <c r="A34" s="24" t="s">
        <v>139</v>
      </c>
      <c r="B34" s="19" t="str">
        <f t="shared" si="2"/>
        <v>Profetas II</v>
      </c>
    </row>
    <row r="35" spans="1:2" ht="15.75" customHeight="1" x14ac:dyDescent="0.25">
      <c r="A35" s="24" t="s">
        <v>143</v>
      </c>
      <c r="B35" s="19" t="str">
        <f t="shared" si="2"/>
        <v>Profetas II</v>
      </c>
    </row>
    <row r="36" spans="1:2" ht="15.75" customHeight="1" x14ac:dyDescent="0.25">
      <c r="A36" s="24" t="s">
        <v>147</v>
      </c>
      <c r="B36" s="19" t="str">
        <f t="shared" si="2"/>
        <v>Profetas II</v>
      </c>
    </row>
    <row r="37" spans="1:2" ht="15.75" customHeight="1" x14ac:dyDescent="0.25">
      <c r="A37" s="24" t="s">
        <v>150</v>
      </c>
      <c r="B37" s="19" t="str">
        <f t="shared" si="2"/>
        <v>Profetas II</v>
      </c>
    </row>
    <row r="38" spans="1:2" ht="15.75" customHeight="1" x14ac:dyDescent="0.25">
      <c r="A38" s="24" t="s">
        <v>153</v>
      </c>
      <c r="B38" s="19" t="str">
        <f t="shared" si="2"/>
        <v>Profetas II</v>
      </c>
    </row>
    <row r="39" spans="1:2" ht="15.75" customHeight="1" x14ac:dyDescent="0.25">
      <c r="A39" s="24" t="s">
        <v>156</v>
      </c>
      <c r="B39" s="19" t="str">
        <f t="shared" si="2"/>
        <v>Profetas II</v>
      </c>
    </row>
    <row r="40" spans="1:2" ht="15.75" customHeight="1" x14ac:dyDescent="0.25">
      <c r="A40" s="24" t="s">
        <v>159</v>
      </c>
      <c r="B40" s="19" t="str">
        <f t="shared" si="2"/>
        <v>Profetas II</v>
      </c>
    </row>
    <row r="41" spans="1:2" ht="15.75" customHeight="1" x14ac:dyDescent="0.25">
      <c r="A41" s="24" t="s">
        <v>116</v>
      </c>
      <c r="B41" s="19" t="str">
        <f t="shared" si="2"/>
        <v>Profetas II</v>
      </c>
    </row>
    <row r="42" spans="1:2" ht="15.75" customHeight="1" x14ac:dyDescent="0.25">
      <c r="A42" s="24" t="s">
        <v>120</v>
      </c>
      <c r="B42" s="19" t="str">
        <f t="shared" si="2"/>
        <v>Profetas II</v>
      </c>
    </row>
    <row r="43" spans="1:2" ht="15.75" customHeight="1" x14ac:dyDescent="0.25">
      <c r="A43" s="24" t="s">
        <v>124</v>
      </c>
      <c r="B43" s="19" t="str">
        <f t="shared" si="2"/>
        <v>Profetas II</v>
      </c>
    </row>
    <row r="44" spans="1:2" ht="15.75" customHeight="1" x14ac:dyDescent="0.25">
      <c r="A44" s="24" t="s">
        <v>128</v>
      </c>
      <c r="B44" s="19" t="str">
        <f t="shared" si="2"/>
        <v>Profetas II</v>
      </c>
    </row>
    <row r="45" spans="1:2" ht="15.75" customHeight="1" x14ac:dyDescent="0.25">
      <c r="A45" s="24" t="s">
        <v>132</v>
      </c>
      <c r="B45" s="19" t="str">
        <f t="shared" si="2"/>
        <v>Profetas II</v>
      </c>
    </row>
    <row r="46" spans="1:2" ht="15.75" customHeight="1" x14ac:dyDescent="0.25">
      <c r="A46" s="24" t="s">
        <v>136</v>
      </c>
      <c r="B46" s="19" t="str">
        <f t="shared" si="2"/>
        <v>Profetas II</v>
      </c>
    </row>
    <row r="47" spans="1:2" ht="15.75" customHeight="1" x14ac:dyDescent="0.25">
      <c r="A47" s="24" t="s">
        <v>140</v>
      </c>
      <c r="B47" s="19" t="s">
        <v>176</v>
      </c>
    </row>
    <row r="48" spans="1:2" ht="15.75" customHeight="1" x14ac:dyDescent="0.25">
      <c r="A48" s="24" t="s">
        <v>144</v>
      </c>
      <c r="B48" s="19" t="str">
        <f>B47</f>
        <v>Restauradores</v>
      </c>
    </row>
    <row r="49" spans="1:2" ht="15.75" customHeight="1" x14ac:dyDescent="0.25">
      <c r="A49" s="140" t="s">
        <v>231</v>
      </c>
      <c r="B49" s="139" t="s">
        <v>381</v>
      </c>
    </row>
    <row r="50" spans="1:2" ht="15.75" customHeight="1" x14ac:dyDescent="0.25">
      <c r="A50" s="140" t="s">
        <v>232</v>
      </c>
      <c r="B50" s="139" t="s">
        <v>381</v>
      </c>
    </row>
    <row r="51" spans="1:2" ht="15.75" customHeight="1" x14ac:dyDescent="0.25">
      <c r="A51" s="140" t="s">
        <v>233</v>
      </c>
      <c r="B51" s="139" t="s">
        <v>381</v>
      </c>
    </row>
    <row r="52" spans="1:2" ht="15.75" customHeight="1" x14ac:dyDescent="0.25">
      <c r="A52" s="140" t="s">
        <v>234</v>
      </c>
      <c r="B52" s="139" t="s">
        <v>381</v>
      </c>
    </row>
    <row r="53" spans="1:2" ht="15.75" customHeight="1" x14ac:dyDescent="0.25">
      <c r="A53" s="140" t="s">
        <v>235</v>
      </c>
      <c r="B53" s="139" t="s">
        <v>381</v>
      </c>
    </row>
    <row r="54" spans="1:2" ht="15.75" customHeight="1" x14ac:dyDescent="0.25">
      <c r="A54" s="140" t="s">
        <v>236</v>
      </c>
      <c r="B54" s="139" t="s">
        <v>381</v>
      </c>
    </row>
    <row r="55" spans="1:2" ht="15.75" customHeight="1" x14ac:dyDescent="0.25">
      <c r="A55" s="140" t="s">
        <v>237</v>
      </c>
      <c r="B55" s="139" t="s">
        <v>381</v>
      </c>
    </row>
    <row r="56" spans="1:2" ht="15.75" customHeight="1" x14ac:dyDescent="0.25">
      <c r="A56" s="140" t="s">
        <v>238</v>
      </c>
      <c r="B56" s="139" t="s">
        <v>381</v>
      </c>
    </row>
    <row r="57" spans="1:2" ht="15.75" customHeight="1" x14ac:dyDescent="0.25">
      <c r="A57" s="140" t="s">
        <v>239</v>
      </c>
      <c r="B57" s="139" t="s">
        <v>381</v>
      </c>
    </row>
    <row r="58" spans="1:2" ht="15.75" customHeight="1" x14ac:dyDescent="0.25">
      <c r="A58" s="140" t="s">
        <v>240</v>
      </c>
      <c r="B58" s="139" t="s">
        <v>381</v>
      </c>
    </row>
    <row r="59" spans="1:2" ht="15.75" customHeight="1" x14ac:dyDescent="0.25">
      <c r="A59" s="140" t="s">
        <v>241</v>
      </c>
      <c r="B59" s="139" t="s">
        <v>381</v>
      </c>
    </row>
    <row r="60" spans="1:2" ht="15.75" customHeight="1" x14ac:dyDescent="0.25">
      <c r="A60" s="140" t="s">
        <v>242</v>
      </c>
      <c r="B60" s="139" t="s">
        <v>381</v>
      </c>
    </row>
    <row r="61" spans="1:2" ht="15.75" customHeight="1" x14ac:dyDescent="0.25">
      <c r="A61" s="140" t="s">
        <v>243</v>
      </c>
      <c r="B61" s="139" t="s">
        <v>381</v>
      </c>
    </row>
    <row r="62" spans="1:2" ht="15.75" customHeight="1" x14ac:dyDescent="0.25">
      <c r="A62" s="140" t="s">
        <v>244</v>
      </c>
      <c r="B62" s="139" t="s">
        <v>381</v>
      </c>
    </row>
    <row r="63" spans="1:2" ht="15.75" customHeight="1" x14ac:dyDescent="0.25">
      <c r="A63" s="140" t="s">
        <v>245</v>
      </c>
      <c r="B63" s="139" t="s">
        <v>381</v>
      </c>
    </row>
    <row r="64" spans="1:2" ht="15.75" customHeight="1" x14ac:dyDescent="0.25">
      <c r="A64" s="140" t="s">
        <v>246</v>
      </c>
      <c r="B64" s="139" t="s">
        <v>381</v>
      </c>
    </row>
    <row r="65" spans="1:2" ht="15.75" customHeight="1" x14ac:dyDescent="0.25">
      <c r="A65" s="140" t="s">
        <v>247</v>
      </c>
      <c r="B65" s="139" t="s">
        <v>381</v>
      </c>
    </row>
    <row r="66" spans="1:2" ht="15.75" customHeight="1" x14ac:dyDescent="0.25">
      <c r="A66" s="140" t="s">
        <v>248</v>
      </c>
      <c r="B66" s="139" t="s">
        <v>381</v>
      </c>
    </row>
    <row r="67" spans="1:2" ht="15.75" customHeight="1" x14ac:dyDescent="0.25">
      <c r="A67" s="140" t="s">
        <v>249</v>
      </c>
      <c r="B67" s="139" t="s">
        <v>381</v>
      </c>
    </row>
    <row r="68" spans="1:2" ht="15.75" customHeight="1" x14ac:dyDescent="0.25">
      <c r="A68" s="140" t="s">
        <v>250</v>
      </c>
      <c r="B68" s="139" t="s">
        <v>381</v>
      </c>
    </row>
    <row r="69" spans="1:2" ht="15.75" customHeight="1" x14ac:dyDescent="0.25">
      <c r="A69" s="140" t="s">
        <v>251</v>
      </c>
      <c r="B69" s="139" t="s">
        <v>381</v>
      </c>
    </row>
    <row r="70" spans="1:2" ht="15.75" customHeight="1" x14ac:dyDescent="0.25">
      <c r="A70" s="140" t="s">
        <v>252</v>
      </c>
      <c r="B70" s="139" t="s">
        <v>381</v>
      </c>
    </row>
    <row r="71" spans="1:2" ht="15.75" customHeight="1" x14ac:dyDescent="0.25">
      <c r="A71" s="140" t="s">
        <v>253</v>
      </c>
      <c r="B71" s="139" t="s">
        <v>381</v>
      </c>
    </row>
    <row r="72" spans="1:2" ht="15.75" customHeight="1" x14ac:dyDescent="0.25">
      <c r="A72" s="140" t="s">
        <v>254</v>
      </c>
      <c r="B72" s="139" t="s">
        <v>381</v>
      </c>
    </row>
    <row r="73" spans="1:2" ht="15.75" customHeight="1" x14ac:dyDescent="0.25">
      <c r="A73" s="140" t="s">
        <v>255</v>
      </c>
      <c r="B73" s="139" t="s">
        <v>381</v>
      </c>
    </row>
    <row r="74" spans="1:2" ht="15.75" customHeight="1" x14ac:dyDescent="0.25">
      <c r="A74" s="140" t="s">
        <v>256</v>
      </c>
      <c r="B74" s="139" t="s">
        <v>381</v>
      </c>
    </row>
    <row r="75" spans="1:2" ht="15.75" customHeight="1" x14ac:dyDescent="0.25">
      <c r="A75" s="140" t="s">
        <v>257</v>
      </c>
      <c r="B75" s="139" t="s">
        <v>381</v>
      </c>
    </row>
    <row r="76" spans="1:2" ht="15.75" customHeight="1" x14ac:dyDescent="0.25">
      <c r="A76" s="140" t="s">
        <v>258</v>
      </c>
      <c r="B76" s="139" t="s">
        <v>381</v>
      </c>
    </row>
    <row r="77" spans="1:2" ht="15.75" customHeight="1" x14ac:dyDescent="0.25">
      <c r="A77" s="140" t="s">
        <v>259</v>
      </c>
      <c r="B77" s="139" t="s">
        <v>381</v>
      </c>
    </row>
    <row r="78" spans="1:2" ht="15.75" customHeight="1" x14ac:dyDescent="0.25">
      <c r="A78" s="140" t="s">
        <v>260</v>
      </c>
      <c r="B78" s="139" t="s">
        <v>381</v>
      </c>
    </row>
    <row r="79" spans="1:2" ht="15.75" customHeight="1" x14ac:dyDescent="0.25">
      <c r="A79" s="140" t="s">
        <v>261</v>
      </c>
      <c r="B79" s="139" t="s">
        <v>381</v>
      </c>
    </row>
    <row r="80" spans="1:2" ht="15.75" customHeight="1" x14ac:dyDescent="0.25">
      <c r="A80" s="140" t="s">
        <v>262</v>
      </c>
      <c r="B80" s="139" t="s">
        <v>381</v>
      </c>
    </row>
    <row r="81" spans="1:2" ht="15.75" customHeight="1" x14ac:dyDescent="0.25">
      <c r="A81" s="140" t="s">
        <v>263</v>
      </c>
      <c r="B81" s="139" t="s">
        <v>381</v>
      </c>
    </row>
    <row r="82" spans="1:2" ht="15.75" customHeight="1" x14ac:dyDescent="0.25">
      <c r="A82" s="140" t="s">
        <v>264</v>
      </c>
      <c r="B82" s="139" t="s">
        <v>381</v>
      </c>
    </row>
    <row r="83" spans="1:2" ht="15.75" customHeight="1" x14ac:dyDescent="0.25">
      <c r="A83" s="140" t="s">
        <v>265</v>
      </c>
      <c r="B83" s="139" t="s">
        <v>381</v>
      </c>
    </row>
    <row r="84" spans="1:2" ht="15.75" customHeight="1" x14ac:dyDescent="0.25">
      <c r="A84" s="140" t="s">
        <v>266</v>
      </c>
      <c r="B84" s="139" t="s">
        <v>381</v>
      </c>
    </row>
    <row r="85" spans="1:2" ht="15.75" customHeight="1" x14ac:dyDescent="0.25">
      <c r="A85" s="140" t="s">
        <v>267</v>
      </c>
      <c r="B85" s="139" t="s">
        <v>381</v>
      </c>
    </row>
    <row r="86" spans="1:2" ht="15.75" customHeight="1" x14ac:dyDescent="0.25">
      <c r="A86" s="140" t="s">
        <v>268</v>
      </c>
      <c r="B86" s="139" t="s">
        <v>381</v>
      </c>
    </row>
    <row r="87" spans="1:2" ht="15.75" customHeight="1" x14ac:dyDescent="0.25">
      <c r="A87" s="140" t="s">
        <v>269</v>
      </c>
      <c r="B87" s="139" t="s">
        <v>381</v>
      </c>
    </row>
    <row r="88" spans="1:2" ht="15.75" customHeight="1" x14ac:dyDescent="0.25">
      <c r="A88" s="140" t="s">
        <v>270</v>
      </c>
      <c r="B88" s="139" t="s">
        <v>381</v>
      </c>
    </row>
    <row r="89" spans="1:2" ht="15.75" customHeight="1" x14ac:dyDescent="0.25">
      <c r="A89" s="140" t="s">
        <v>271</v>
      </c>
      <c r="B89" s="139" t="s">
        <v>381</v>
      </c>
    </row>
    <row r="90" spans="1:2" ht="15.75" customHeight="1" x14ac:dyDescent="0.25">
      <c r="A90" s="140" t="s">
        <v>272</v>
      </c>
      <c r="B90" s="139" t="s">
        <v>381</v>
      </c>
    </row>
    <row r="91" spans="1:2" ht="15.75" customHeight="1" x14ac:dyDescent="0.25">
      <c r="A91" s="140" t="s">
        <v>273</v>
      </c>
      <c r="B91" s="139" t="s">
        <v>381</v>
      </c>
    </row>
    <row r="92" spans="1:2" ht="15.75" customHeight="1" x14ac:dyDescent="0.25">
      <c r="A92" s="140" t="s">
        <v>274</v>
      </c>
      <c r="B92" s="139" t="s">
        <v>381</v>
      </c>
    </row>
    <row r="93" spans="1:2" ht="15.75" customHeight="1" x14ac:dyDescent="0.25">
      <c r="A93" s="140" t="s">
        <v>275</v>
      </c>
      <c r="B93" s="139" t="s">
        <v>381</v>
      </c>
    </row>
    <row r="94" spans="1:2" ht="15.75" customHeight="1" x14ac:dyDescent="0.25">
      <c r="A94" s="140" t="s">
        <v>276</v>
      </c>
      <c r="B94" s="139" t="s">
        <v>381</v>
      </c>
    </row>
    <row r="95" spans="1:2" ht="15.75" customHeight="1" x14ac:dyDescent="0.25">
      <c r="A95" s="140" t="s">
        <v>277</v>
      </c>
      <c r="B95" s="139" t="s">
        <v>381</v>
      </c>
    </row>
    <row r="96" spans="1:2" ht="15.75" customHeight="1" x14ac:dyDescent="0.25">
      <c r="A96" s="140" t="s">
        <v>278</v>
      </c>
      <c r="B96" s="139" t="s">
        <v>381</v>
      </c>
    </row>
    <row r="97" spans="1:2" ht="15.75" customHeight="1" x14ac:dyDescent="0.25">
      <c r="A97" s="140" t="s">
        <v>279</v>
      </c>
      <c r="B97" s="139" t="s">
        <v>381</v>
      </c>
    </row>
    <row r="98" spans="1:2" ht="15.75" customHeight="1" x14ac:dyDescent="0.25">
      <c r="A98" s="140" t="s">
        <v>280</v>
      </c>
      <c r="B98" s="139" t="s">
        <v>381</v>
      </c>
    </row>
    <row r="99" spans="1:2" ht="15.75" customHeight="1" x14ac:dyDescent="0.25">
      <c r="A99" s="140" t="s">
        <v>281</v>
      </c>
      <c r="B99" s="139" t="s">
        <v>381</v>
      </c>
    </row>
    <row r="100" spans="1:2" ht="15.75" customHeight="1" x14ac:dyDescent="0.25">
      <c r="A100" s="140" t="s">
        <v>282</v>
      </c>
      <c r="B100" s="139" t="s">
        <v>381</v>
      </c>
    </row>
    <row r="101" spans="1:2" ht="15.75" customHeight="1" x14ac:dyDescent="0.25">
      <c r="A101" s="140" t="s">
        <v>283</v>
      </c>
      <c r="B101" s="139" t="s">
        <v>381</v>
      </c>
    </row>
    <row r="102" spans="1:2" ht="15.75" customHeight="1" x14ac:dyDescent="0.25">
      <c r="A102" s="140" t="s">
        <v>284</v>
      </c>
      <c r="B102" s="139" t="s">
        <v>381</v>
      </c>
    </row>
    <row r="103" spans="1:2" ht="15.75" customHeight="1" x14ac:dyDescent="0.25">
      <c r="A103" s="140" t="s">
        <v>285</v>
      </c>
      <c r="B103" s="139" t="s">
        <v>381</v>
      </c>
    </row>
    <row r="104" spans="1:2" ht="15.75" customHeight="1" x14ac:dyDescent="0.25">
      <c r="A104" s="140" t="s">
        <v>286</v>
      </c>
      <c r="B104" s="139" t="s">
        <v>381</v>
      </c>
    </row>
    <row r="105" spans="1:2" ht="15.75" customHeight="1" x14ac:dyDescent="0.25">
      <c r="A105" s="140" t="s">
        <v>287</v>
      </c>
      <c r="B105" s="139" t="s">
        <v>381</v>
      </c>
    </row>
    <row r="106" spans="1:2" ht="15.75" customHeight="1" x14ac:dyDescent="0.25">
      <c r="A106" s="140" t="s">
        <v>288</v>
      </c>
      <c r="B106" s="139" t="s">
        <v>381</v>
      </c>
    </row>
    <row r="107" spans="1:2" ht="15.75" customHeight="1" x14ac:dyDescent="0.25">
      <c r="A107" s="140" t="s">
        <v>289</v>
      </c>
      <c r="B107" s="139" t="s">
        <v>381</v>
      </c>
    </row>
    <row r="108" spans="1:2" ht="15.75" customHeight="1" x14ac:dyDescent="0.25">
      <c r="A108" s="140" t="s">
        <v>290</v>
      </c>
      <c r="B108" s="139" t="s">
        <v>381</v>
      </c>
    </row>
    <row r="109" spans="1:2" ht="15.75" customHeight="1" x14ac:dyDescent="0.25">
      <c r="A109" s="140" t="s">
        <v>291</v>
      </c>
      <c r="B109" s="139" t="s">
        <v>381</v>
      </c>
    </row>
    <row r="110" spans="1:2" ht="15.75" customHeight="1" x14ac:dyDescent="0.25">
      <c r="A110" s="140" t="s">
        <v>292</v>
      </c>
      <c r="B110" s="139" t="s">
        <v>381</v>
      </c>
    </row>
    <row r="111" spans="1:2" ht="15.75" customHeight="1" x14ac:dyDescent="0.25">
      <c r="A111" s="140" t="s">
        <v>293</v>
      </c>
      <c r="B111" s="139" t="s">
        <v>381</v>
      </c>
    </row>
    <row r="112" spans="1:2" ht="15.75" customHeight="1" x14ac:dyDescent="0.25">
      <c r="A112" s="140" t="s">
        <v>294</v>
      </c>
      <c r="B112" s="139" t="s">
        <v>381</v>
      </c>
    </row>
    <row r="113" spans="1:2" ht="15.75" customHeight="1" x14ac:dyDescent="0.25">
      <c r="A113" s="140" t="s">
        <v>295</v>
      </c>
      <c r="B113" s="139" t="s">
        <v>381</v>
      </c>
    </row>
    <row r="114" spans="1:2" ht="15.75" customHeight="1" x14ac:dyDescent="0.25">
      <c r="A114" s="140" t="s">
        <v>296</v>
      </c>
      <c r="B114" s="139" t="s">
        <v>381</v>
      </c>
    </row>
    <row r="115" spans="1:2" ht="15.75" customHeight="1" x14ac:dyDescent="0.25">
      <c r="A115" s="140" t="s">
        <v>297</v>
      </c>
      <c r="B115" s="139" t="s">
        <v>381</v>
      </c>
    </row>
    <row r="116" spans="1:2" ht="15.75" customHeight="1" x14ac:dyDescent="0.25">
      <c r="A116" s="140" t="s">
        <v>298</v>
      </c>
      <c r="B116" s="139" t="s">
        <v>381</v>
      </c>
    </row>
    <row r="117" spans="1:2" ht="15.75" customHeight="1" x14ac:dyDescent="0.25">
      <c r="A117" s="140" t="s">
        <v>299</v>
      </c>
      <c r="B117" s="139" t="s">
        <v>381</v>
      </c>
    </row>
    <row r="118" spans="1:2" ht="15.75" customHeight="1" x14ac:dyDescent="0.25">
      <c r="A118" s="140" t="s">
        <v>300</v>
      </c>
      <c r="B118" s="139" t="s">
        <v>381</v>
      </c>
    </row>
    <row r="119" spans="1:2" ht="15.75" customHeight="1" x14ac:dyDescent="0.25">
      <c r="A119" s="140" t="s">
        <v>301</v>
      </c>
      <c r="B119" s="139" t="s">
        <v>381</v>
      </c>
    </row>
    <row r="120" spans="1:2" ht="15.75" customHeight="1" x14ac:dyDescent="0.25">
      <c r="A120" s="140" t="s">
        <v>302</v>
      </c>
      <c r="B120" s="139" t="s">
        <v>381</v>
      </c>
    </row>
    <row r="121" spans="1:2" ht="15.75" customHeight="1" x14ac:dyDescent="0.25">
      <c r="A121" s="140" t="s">
        <v>303</v>
      </c>
      <c r="B121" s="139" t="s">
        <v>381</v>
      </c>
    </row>
    <row r="122" spans="1:2" ht="15.75" customHeight="1" x14ac:dyDescent="0.25">
      <c r="A122" s="140" t="s">
        <v>304</v>
      </c>
      <c r="B122" s="139" t="s">
        <v>381</v>
      </c>
    </row>
    <row r="123" spans="1:2" ht="15.75" customHeight="1" x14ac:dyDescent="0.25">
      <c r="A123" s="140" t="s">
        <v>305</v>
      </c>
      <c r="B123" s="139" t="s">
        <v>381</v>
      </c>
    </row>
    <row r="124" spans="1:2" ht="15.75" customHeight="1" x14ac:dyDescent="0.25">
      <c r="A124" s="140" t="s">
        <v>306</v>
      </c>
      <c r="B124" s="139" t="s">
        <v>381</v>
      </c>
    </row>
    <row r="125" spans="1:2" ht="15.75" customHeight="1" x14ac:dyDescent="0.25">
      <c r="A125" s="140" t="s">
        <v>307</v>
      </c>
      <c r="B125" s="139" t="s">
        <v>381</v>
      </c>
    </row>
    <row r="126" spans="1:2" ht="15.75" customHeight="1" x14ac:dyDescent="0.25">
      <c r="A126" s="140" t="s">
        <v>308</v>
      </c>
      <c r="B126" s="139" t="s">
        <v>381</v>
      </c>
    </row>
    <row r="127" spans="1:2" ht="15.75" customHeight="1" x14ac:dyDescent="0.25">
      <c r="A127" s="140" t="s">
        <v>309</v>
      </c>
      <c r="B127" s="139" t="s">
        <v>381</v>
      </c>
    </row>
    <row r="128" spans="1:2" ht="15.75" customHeight="1" x14ac:dyDescent="0.25">
      <c r="A128" s="140" t="s">
        <v>310</v>
      </c>
      <c r="B128" s="139" t="s">
        <v>381</v>
      </c>
    </row>
    <row r="129" spans="1:2" ht="15.75" customHeight="1" x14ac:dyDescent="0.25">
      <c r="A129" s="140" t="s">
        <v>311</v>
      </c>
      <c r="B129" s="139" t="s">
        <v>381</v>
      </c>
    </row>
    <row r="130" spans="1:2" ht="15.75" customHeight="1" x14ac:dyDescent="0.25">
      <c r="A130" s="140" t="s">
        <v>312</v>
      </c>
      <c r="B130" s="139" t="s">
        <v>381</v>
      </c>
    </row>
    <row r="131" spans="1:2" ht="15.75" customHeight="1" x14ac:dyDescent="0.25">
      <c r="A131" s="140" t="s">
        <v>313</v>
      </c>
      <c r="B131" s="139" t="s">
        <v>381</v>
      </c>
    </row>
    <row r="132" spans="1:2" ht="15.75" customHeight="1" x14ac:dyDescent="0.25">
      <c r="A132" s="140" t="s">
        <v>314</v>
      </c>
      <c r="B132" s="139" t="s">
        <v>381</v>
      </c>
    </row>
    <row r="133" spans="1:2" ht="15.75" customHeight="1" x14ac:dyDescent="0.25">
      <c r="A133" s="140" t="s">
        <v>315</v>
      </c>
      <c r="B133" s="139" t="s">
        <v>381</v>
      </c>
    </row>
    <row r="134" spans="1:2" ht="15.75" customHeight="1" x14ac:dyDescent="0.25">
      <c r="A134" s="140" t="s">
        <v>316</v>
      </c>
      <c r="B134" s="139" t="s">
        <v>381</v>
      </c>
    </row>
    <row r="135" spans="1:2" ht="15.75" customHeight="1" x14ac:dyDescent="0.25">
      <c r="A135" s="140" t="s">
        <v>317</v>
      </c>
      <c r="B135" s="139" t="s">
        <v>381</v>
      </c>
    </row>
    <row r="136" spans="1:2" ht="15.75" customHeight="1" x14ac:dyDescent="0.25">
      <c r="A136" s="140" t="s">
        <v>318</v>
      </c>
      <c r="B136" s="139" t="s">
        <v>381</v>
      </c>
    </row>
    <row r="137" spans="1:2" ht="15.75" customHeight="1" x14ac:dyDescent="0.25">
      <c r="A137" s="140" t="s">
        <v>319</v>
      </c>
      <c r="B137" s="139" t="s">
        <v>381</v>
      </c>
    </row>
    <row r="138" spans="1:2" ht="15.75" customHeight="1" x14ac:dyDescent="0.25">
      <c r="A138" s="140" t="s">
        <v>320</v>
      </c>
      <c r="B138" s="139" t="s">
        <v>381</v>
      </c>
    </row>
    <row r="139" spans="1:2" ht="15.75" customHeight="1" x14ac:dyDescent="0.25">
      <c r="A139" s="140" t="s">
        <v>321</v>
      </c>
      <c r="B139" s="139" t="s">
        <v>381</v>
      </c>
    </row>
    <row r="140" spans="1:2" ht="15.75" customHeight="1" x14ac:dyDescent="0.25">
      <c r="A140" s="140" t="s">
        <v>322</v>
      </c>
      <c r="B140" s="139" t="s">
        <v>381</v>
      </c>
    </row>
    <row r="141" spans="1:2" ht="15.75" customHeight="1" x14ac:dyDescent="0.25">
      <c r="A141" s="140" t="s">
        <v>323</v>
      </c>
      <c r="B141" s="139" t="s">
        <v>381</v>
      </c>
    </row>
    <row r="142" spans="1:2" ht="15.75" customHeight="1" x14ac:dyDescent="0.25">
      <c r="A142" s="140" t="s">
        <v>324</v>
      </c>
      <c r="B142" s="139" t="s">
        <v>381</v>
      </c>
    </row>
    <row r="143" spans="1:2" ht="15.75" customHeight="1" x14ac:dyDescent="0.25">
      <c r="A143" s="140" t="s">
        <v>325</v>
      </c>
      <c r="B143" s="139" t="s">
        <v>381</v>
      </c>
    </row>
    <row r="144" spans="1:2" ht="15.75" customHeight="1" x14ac:dyDescent="0.25">
      <c r="A144" s="140" t="s">
        <v>326</v>
      </c>
      <c r="B144" s="139" t="s">
        <v>381</v>
      </c>
    </row>
    <row r="145" spans="1:2" ht="15.75" customHeight="1" x14ac:dyDescent="0.25">
      <c r="A145" s="140" t="s">
        <v>327</v>
      </c>
      <c r="B145" s="139" t="s">
        <v>381</v>
      </c>
    </row>
    <row r="146" spans="1:2" ht="15.75" customHeight="1" x14ac:dyDescent="0.25">
      <c r="A146" s="140" t="s">
        <v>328</v>
      </c>
      <c r="B146" s="139" t="s">
        <v>381</v>
      </c>
    </row>
    <row r="147" spans="1:2" ht="15.75" customHeight="1" x14ac:dyDescent="0.25">
      <c r="A147" s="140" t="s">
        <v>329</v>
      </c>
      <c r="B147" s="139" t="s">
        <v>381</v>
      </c>
    </row>
    <row r="148" spans="1:2" ht="15.75" customHeight="1" x14ac:dyDescent="0.25">
      <c r="A148" s="140" t="s">
        <v>330</v>
      </c>
      <c r="B148" s="139" t="s">
        <v>381</v>
      </c>
    </row>
    <row r="149" spans="1:2" ht="15.75" customHeight="1" x14ac:dyDescent="0.25">
      <c r="A149" s="140" t="s">
        <v>331</v>
      </c>
      <c r="B149" s="139" t="s">
        <v>381</v>
      </c>
    </row>
    <row r="150" spans="1:2" ht="15.75" customHeight="1" x14ac:dyDescent="0.25">
      <c r="A150" s="140" t="s">
        <v>332</v>
      </c>
      <c r="B150" s="139" t="s">
        <v>381</v>
      </c>
    </row>
    <row r="151" spans="1:2" ht="15.75" customHeight="1" x14ac:dyDescent="0.25">
      <c r="A151" s="140" t="s">
        <v>333</v>
      </c>
      <c r="B151" s="139" t="s">
        <v>381</v>
      </c>
    </row>
    <row r="152" spans="1:2" ht="15.75" customHeight="1" x14ac:dyDescent="0.25">
      <c r="A152" s="140" t="s">
        <v>334</v>
      </c>
      <c r="B152" s="139" t="s">
        <v>381</v>
      </c>
    </row>
    <row r="153" spans="1:2" ht="15.75" customHeight="1" x14ac:dyDescent="0.25">
      <c r="A153" s="140" t="s">
        <v>335</v>
      </c>
      <c r="B153" s="139" t="s">
        <v>381</v>
      </c>
    </row>
    <row r="154" spans="1:2" ht="15.75" customHeight="1" x14ac:dyDescent="0.25">
      <c r="A154" s="140" t="s">
        <v>336</v>
      </c>
      <c r="B154" s="139" t="s">
        <v>381</v>
      </c>
    </row>
    <row r="155" spans="1:2" ht="15.75" customHeight="1" x14ac:dyDescent="0.25">
      <c r="A155" s="140" t="s">
        <v>337</v>
      </c>
      <c r="B155" s="139" t="s">
        <v>381</v>
      </c>
    </row>
    <row r="156" spans="1:2" ht="15.75" customHeight="1" x14ac:dyDescent="0.25">
      <c r="A156" s="140" t="s">
        <v>338</v>
      </c>
      <c r="B156" s="139" t="s">
        <v>381</v>
      </c>
    </row>
    <row r="157" spans="1:2" ht="15.75" customHeight="1" x14ac:dyDescent="0.25">
      <c r="A157" s="140" t="s">
        <v>339</v>
      </c>
      <c r="B157" s="139" t="s">
        <v>381</v>
      </c>
    </row>
    <row r="158" spans="1:2" ht="15.75" customHeight="1" x14ac:dyDescent="0.25">
      <c r="A158" s="140" t="s">
        <v>340</v>
      </c>
      <c r="B158" s="139" t="s">
        <v>381</v>
      </c>
    </row>
    <row r="159" spans="1:2" ht="15.75" customHeight="1" x14ac:dyDescent="0.25">
      <c r="A159" s="140" t="s">
        <v>341</v>
      </c>
      <c r="B159" s="139" t="s">
        <v>381</v>
      </c>
    </row>
    <row r="160" spans="1:2" ht="15.75" customHeight="1" x14ac:dyDescent="0.25">
      <c r="A160" s="140" t="s">
        <v>342</v>
      </c>
      <c r="B160" s="139" t="s">
        <v>381</v>
      </c>
    </row>
    <row r="161" spans="1:2" ht="15.75" customHeight="1" x14ac:dyDescent="0.25">
      <c r="A161" s="140" t="s">
        <v>343</v>
      </c>
      <c r="B161" s="139" t="s">
        <v>381</v>
      </c>
    </row>
    <row r="162" spans="1:2" ht="15.75" customHeight="1" x14ac:dyDescent="0.25">
      <c r="A162" s="140" t="s">
        <v>344</v>
      </c>
      <c r="B162" s="139" t="s">
        <v>381</v>
      </c>
    </row>
    <row r="163" spans="1:2" ht="15.75" customHeight="1" x14ac:dyDescent="0.25">
      <c r="A163" s="140" t="s">
        <v>345</v>
      </c>
      <c r="B163" s="139" t="s">
        <v>381</v>
      </c>
    </row>
    <row r="164" spans="1:2" ht="15.75" customHeight="1" x14ac:dyDescent="0.25">
      <c r="A164" s="140" t="s">
        <v>346</v>
      </c>
      <c r="B164" s="139" t="s">
        <v>381</v>
      </c>
    </row>
    <row r="165" spans="1:2" ht="15.75" customHeight="1" x14ac:dyDescent="0.25">
      <c r="A165" s="140" t="s">
        <v>347</v>
      </c>
      <c r="B165" s="139" t="s">
        <v>381</v>
      </c>
    </row>
    <row r="166" spans="1:2" ht="15.75" customHeight="1" x14ac:dyDescent="0.25">
      <c r="A166" s="140" t="s">
        <v>348</v>
      </c>
      <c r="B166" s="139" t="s">
        <v>381</v>
      </c>
    </row>
    <row r="167" spans="1:2" ht="15.75" customHeight="1" x14ac:dyDescent="0.25">
      <c r="A167" s="140" t="s">
        <v>349</v>
      </c>
      <c r="B167" s="139" t="s">
        <v>381</v>
      </c>
    </row>
    <row r="168" spans="1:2" ht="15.75" customHeight="1" x14ac:dyDescent="0.25">
      <c r="A168" s="140" t="s">
        <v>350</v>
      </c>
      <c r="B168" s="139" t="s">
        <v>381</v>
      </c>
    </row>
    <row r="169" spans="1:2" ht="15.75" customHeight="1" x14ac:dyDescent="0.25">
      <c r="A169" s="140" t="s">
        <v>351</v>
      </c>
      <c r="B169" s="139" t="s">
        <v>381</v>
      </c>
    </row>
    <row r="170" spans="1:2" ht="15.75" customHeight="1" x14ac:dyDescent="0.25">
      <c r="A170" s="140" t="s">
        <v>352</v>
      </c>
      <c r="B170" s="139" t="s">
        <v>381</v>
      </c>
    </row>
    <row r="171" spans="1:2" ht="15.75" customHeight="1" x14ac:dyDescent="0.25">
      <c r="A171" s="140" t="s">
        <v>353</v>
      </c>
      <c r="B171" s="139" t="s">
        <v>381</v>
      </c>
    </row>
    <row r="172" spans="1:2" ht="15.75" customHeight="1" x14ac:dyDescent="0.25">
      <c r="A172" s="140" t="s">
        <v>354</v>
      </c>
      <c r="B172" s="139" t="s">
        <v>381</v>
      </c>
    </row>
    <row r="173" spans="1:2" ht="15.75" customHeight="1" x14ac:dyDescent="0.25">
      <c r="A173" s="140" t="s">
        <v>355</v>
      </c>
      <c r="B173" s="139" t="s">
        <v>381</v>
      </c>
    </row>
    <row r="174" spans="1:2" ht="15.75" customHeight="1" x14ac:dyDescent="0.25">
      <c r="A174" s="140" t="s">
        <v>356</v>
      </c>
      <c r="B174" s="139" t="s">
        <v>381</v>
      </c>
    </row>
    <row r="175" spans="1:2" ht="15.75" customHeight="1" x14ac:dyDescent="0.25">
      <c r="A175" s="140" t="s">
        <v>357</v>
      </c>
      <c r="B175" s="139" t="s">
        <v>381</v>
      </c>
    </row>
    <row r="176" spans="1:2" ht="15.75" customHeight="1" x14ac:dyDescent="0.25">
      <c r="A176" s="140" t="s">
        <v>358</v>
      </c>
      <c r="B176" s="139" t="s">
        <v>381</v>
      </c>
    </row>
    <row r="177" spans="1:2" ht="15.75" customHeight="1" x14ac:dyDescent="0.25">
      <c r="A177" s="140" t="s">
        <v>359</v>
      </c>
      <c r="B177" s="139" t="s">
        <v>381</v>
      </c>
    </row>
    <row r="178" spans="1:2" ht="15.75" customHeight="1" x14ac:dyDescent="0.25">
      <c r="A178" s="140" t="s">
        <v>360</v>
      </c>
      <c r="B178" s="139" t="s">
        <v>381</v>
      </c>
    </row>
    <row r="179" spans="1:2" ht="15.75" customHeight="1" x14ac:dyDescent="0.25">
      <c r="A179" s="140" t="s">
        <v>361</v>
      </c>
      <c r="B179" s="139" t="s">
        <v>381</v>
      </c>
    </row>
    <row r="180" spans="1:2" ht="15.75" customHeight="1" x14ac:dyDescent="0.25">
      <c r="A180" s="140" t="s">
        <v>362</v>
      </c>
      <c r="B180" s="139" t="s">
        <v>381</v>
      </c>
    </row>
    <row r="181" spans="1:2" ht="15.75" customHeight="1" x14ac:dyDescent="0.25">
      <c r="A181" s="140" t="s">
        <v>363</v>
      </c>
      <c r="B181" s="139" t="s">
        <v>381</v>
      </c>
    </row>
    <row r="182" spans="1:2" ht="15.75" customHeight="1" x14ac:dyDescent="0.25">
      <c r="A182" s="140" t="s">
        <v>364</v>
      </c>
      <c r="B182" s="139" t="s">
        <v>381</v>
      </c>
    </row>
    <row r="183" spans="1:2" ht="15.75" customHeight="1" x14ac:dyDescent="0.25">
      <c r="A183" s="140" t="s">
        <v>365</v>
      </c>
      <c r="B183" s="139" t="s">
        <v>381</v>
      </c>
    </row>
    <row r="184" spans="1:2" ht="15.75" customHeight="1" x14ac:dyDescent="0.25">
      <c r="A184" s="140" t="s">
        <v>366</v>
      </c>
      <c r="B184" s="139" t="s">
        <v>381</v>
      </c>
    </row>
    <row r="185" spans="1:2" ht="15.75" customHeight="1" x14ac:dyDescent="0.25">
      <c r="A185" s="140" t="s">
        <v>367</v>
      </c>
      <c r="B185" s="139" t="s">
        <v>381</v>
      </c>
    </row>
    <row r="186" spans="1:2" ht="15.75" customHeight="1" x14ac:dyDescent="0.25">
      <c r="A186" s="140" t="s">
        <v>368</v>
      </c>
      <c r="B186" s="139" t="s">
        <v>381</v>
      </c>
    </row>
    <row r="187" spans="1:2" ht="15.75" customHeight="1" x14ac:dyDescent="0.25">
      <c r="A187" s="140" t="s">
        <v>369</v>
      </c>
      <c r="B187" s="139" t="s">
        <v>381</v>
      </c>
    </row>
    <row r="188" spans="1:2" ht="15.75" customHeight="1" x14ac:dyDescent="0.25">
      <c r="A188" s="140" t="s">
        <v>370</v>
      </c>
      <c r="B188" s="139" t="s">
        <v>381</v>
      </c>
    </row>
    <row r="189" spans="1:2" ht="15.75" customHeight="1" x14ac:dyDescent="0.25">
      <c r="A189" s="140" t="s">
        <v>371</v>
      </c>
      <c r="B189" s="139" t="s">
        <v>381</v>
      </c>
    </row>
    <row r="190" spans="1:2" ht="15.75" customHeight="1" x14ac:dyDescent="0.25">
      <c r="A190" s="140" t="s">
        <v>372</v>
      </c>
      <c r="B190" s="139" t="s">
        <v>381</v>
      </c>
    </row>
    <row r="191" spans="1:2" ht="15.75" customHeight="1" x14ac:dyDescent="0.25">
      <c r="A191" s="140" t="s">
        <v>373</v>
      </c>
      <c r="B191" s="139" t="s">
        <v>381</v>
      </c>
    </row>
    <row r="192" spans="1:2" ht="15.75" customHeight="1" x14ac:dyDescent="0.25">
      <c r="A192" s="140" t="s">
        <v>374</v>
      </c>
      <c r="B192" s="139" t="s">
        <v>381</v>
      </c>
    </row>
    <row r="193" spans="1:2" ht="15.75" customHeight="1" x14ac:dyDescent="0.25">
      <c r="A193" s="140" t="s">
        <v>375</v>
      </c>
      <c r="B193" s="139" t="s">
        <v>381</v>
      </c>
    </row>
    <row r="194" spans="1:2" ht="15.75" customHeight="1" x14ac:dyDescent="0.25">
      <c r="A194" s="140" t="s">
        <v>376</v>
      </c>
      <c r="B194" s="139" t="s">
        <v>381</v>
      </c>
    </row>
    <row r="195" spans="1:2" ht="15.75" customHeight="1" x14ac:dyDescent="0.25">
      <c r="A195" s="140" t="s">
        <v>377</v>
      </c>
      <c r="B195" s="139" t="s">
        <v>381</v>
      </c>
    </row>
    <row r="196" spans="1:2" ht="15.75" customHeight="1" x14ac:dyDescent="0.25">
      <c r="A196" s="140" t="s">
        <v>378</v>
      </c>
      <c r="B196" s="139" t="s">
        <v>381</v>
      </c>
    </row>
    <row r="197" spans="1:2" ht="15.75" customHeight="1" x14ac:dyDescent="0.25">
      <c r="A197" s="140" t="s">
        <v>379</v>
      </c>
      <c r="B197" s="139" t="s">
        <v>381</v>
      </c>
    </row>
    <row r="198" spans="1:2" ht="15.75" customHeight="1" x14ac:dyDescent="0.25">
      <c r="A198" s="140" t="s">
        <v>380</v>
      </c>
      <c r="B198" s="139" t="s">
        <v>381</v>
      </c>
    </row>
    <row r="199" spans="1:2" ht="15.75" customHeight="1" x14ac:dyDescent="0.25"/>
    <row r="200" spans="1:2" ht="15.75" customHeight="1" x14ac:dyDescent="0.25"/>
    <row r="201" spans="1:2" ht="15.75" customHeight="1" x14ac:dyDescent="0.25"/>
    <row r="202" spans="1:2" ht="15.75" customHeight="1" x14ac:dyDescent="0.25"/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honeticPr fontId="31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>
      <selection sqref="A1:C1"/>
    </sheetView>
  </sheetViews>
  <sheetFormatPr defaultColWidth="14.42578125" defaultRowHeight="15" customHeight="1" x14ac:dyDescent="0.25"/>
  <cols>
    <col min="1" max="1" width="28" customWidth="1"/>
    <col min="2" max="2" width="14.140625" customWidth="1"/>
    <col min="3" max="3" width="13.85546875" customWidth="1"/>
    <col min="4" max="4" width="5.7109375" customWidth="1"/>
    <col min="5" max="26" width="11.42578125" customWidth="1"/>
  </cols>
  <sheetData>
    <row r="1" spans="1:5" ht="21" x14ac:dyDescent="0.35">
      <c r="A1" s="138" t="s">
        <v>177</v>
      </c>
      <c r="B1" s="111"/>
      <c r="C1" s="112"/>
    </row>
    <row r="2" spans="1:5" x14ac:dyDescent="0.25">
      <c r="A2" s="97">
        <f>COUNTIF('Pago Salterio'!$C$4:$C$30, "Pagado")</f>
        <v>11</v>
      </c>
      <c r="B2" s="98">
        <f>COUNTIF('Pago Salterio'!$C$4:$C$30, "Pendiente")</f>
        <v>12</v>
      </c>
      <c r="C2" s="99">
        <f>COUNTIF('Pago Salterio'!$C$4:$C$30, "N/A")</f>
        <v>1</v>
      </c>
    </row>
    <row r="3" spans="1:5" x14ac:dyDescent="0.25">
      <c r="A3" s="17" t="s">
        <v>17</v>
      </c>
      <c r="B3" s="17" t="s">
        <v>19</v>
      </c>
      <c r="C3" s="16" t="s">
        <v>178</v>
      </c>
      <c r="D3" s="17" t="s">
        <v>179</v>
      </c>
      <c r="E3" s="17"/>
    </row>
    <row r="4" spans="1:5" x14ac:dyDescent="0.25">
      <c r="A4" s="16" t="s">
        <v>180</v>
      </c>
      <c r="B4" s="17" t="s">
        <v>181</v>
      </c>
      <c r="C4" s="16" t="s">
        <v>182</v>
      </c>
      <c r="D4" s="17"/>
      <c r="E4" s="17"/>
    </row>
    <row r="5" spans="1:5" x14ac:dyDescent="0.25">
      <c r="A5" s="16" t="s">
        <v>183</v>
      </c>
      <c r="B5" s="17" t="s">
        <v>184</v>
      </c>
      <c r="C5" s="100" t="s">
        <v>185</v>
      </c>
      <c r="D5" s="17"/>
      <c r="E5" s="17"/>
    </row>
    <row r="6" spans="1:5" x14ac:dyDescent="0.25">
      <c r="A6" s="17" t="s">
        <v>186</v>
      </c>
      <c r="B6" s="17" t="s">
        <v>187</v>
      </c>
      <c r="C6" s="100" t="s">
        <v>185</v>
      </c>
      <c r="D6" s="17"/>
      <c r="E6" s="17"/>
    </row>
    <row r="7" spans="1:5" x14ac:dyDescent="0.25">
      <c r="A7" s="17" t="s">
        <v>39</v>
      </c>
      <c r="B7" s="17" t="s">
        <v>188</v>
      </c>
      <c r="C7" s="101" t="s">
        <v>189</v>
      </c>
      <c r="D7" s="102">
        <f>135/140</f>
        <v>0.9642857142857143</v>
      </c>
      <c r="E7" s="16">
        <v>135</v>
      </c>
    </row>
    <row r="8" spans="1:5" x14ac:dyDescent="0.25">
      <c r="A8" s="17" t="s">
        <v>190</v>
      </c>
      <c r="B8" s="17" t="s">
        <v>191</v>
      </c>
      <c r="C8" s="101" t="s">
        <v>189</v>
      </c>
      <c r="D8" s="102">
        <f>140/140</f>
        <v>1</v>
      </c>
      <c r="E8" s="16">
        <v>140</v>
      </c>
    </row>
    <row r="9" spans="1:5" x14ac:dyDescent="0.25">
      <c r="A9" s="17" t="s">
        <v>192</v>
      </c>
      <c r="B9" s="17" t="s">
        <v>193</v>
      </c>
      <c r="C9" s="100" t="s">
        <v>185</v>
      </c>
      <c r="D9" s="17"/>
      <c r="E9" s="17"/>
    </row>
    <row r="10" spans="1:5" x14ac:dyDescent="0.25">
      <c r="A10" s="17" t="s">
        <v>51</v>
      </c>
      <c r="B10" s="17" t="s">
        <v>194</v>
      </c>
      <c r="C10" s="101" t="s">
        <v>189</v>
      </c>
      <c r="D10" s="102">
        <f t="shared" ref="D10:D11" si="0">135/140</f>
        <v>0.9642857142857143</v>
      </c>
      <c r="E10" s="16">
        <v>135</v>
      </c>
    </row>
    <row r="11" spans="1:5" x14ac:dyDescent="0.25">
      <c r="A11" s="17" t="s">
        <v>195</v>
      </c>
      <c r="B11" s="17" t="s">
        <v>196</v>
      </c>
      <c r="C11" s="101" t="s">
        <v>189</v>
      </c>
      <c r="D11" s="102">
        <f t="shared" si="0"/>
        <v>0.9642857142857143</v>
      </c>
      <c r="E11" s="16">
        <v>135</v>
      </c>
    </row>
    <row r="12" spans="1:5" x14ac:dyDescent="0.25">
      <c r="A12" s="16" t="s">
        <v>197</v>
      </c>
      <c r="B12" s="17" t="s">
        <v>198</v>
      </c>
      <c r="C12" s="16" t="s">
        <v>182</v>
      </c>
      <c r="D12" s="17"/>
      <c r="E12" s="17"/>
    </row>
    <row r="13" spans="1:5" x14ac:dyDescent="0.25">
      <c r="A13" s="17" t="s">
        <v>56</v>
      </c>
      <c r="B13" s="17" t="s">
        <v>199</v>
      </c>
      <c r="C13" s="101" t="s">
        <v>189</v>
      </c>
      <c r="D13" s="102">
        <f t="shared" ref="D13:D14" si="1">135/140</f>
        <v>0.9642857142857143</v>
      </c>
      <c r="E13" s="16">
        <v>135</v>
      </c>
    </row>
    <row r="14" spans="1:5" x14ac:dyDescent="0.25">
      <c r="A14" s="16" t="s">
        <v>200</v>
      </c>
      <c r="B14" s="17" t="s">
        <v>201</v>
      </c>
      <c r="C14" s="101" t="s">
        <v>189</v>
      </c>
      <c r="D14" s="102">
        <f t="shared" si="1"/>
        <v>0.9642857142857143</v>
      </c>
      <c r="E14" s="16">
        <v>135</v>
      </c>
    </row>
    <row r="15" spans="1:5" x14ac:dyDescent="0.25">
      <c r="A15" s="16" t="s">
        <v>202</v>
      </c>
      <c r="B15" s="17" t="s">
        <v>203</v>
      </c>
      <c r="C15" s="100" t="s">
        <v>185</v>
      </c>
      <c r="D15" s="17"/>
      <c r="E15" s="17"/>
    </row>
    <row r="16" spans="1:5" x14ac:dyDescent="0.25">
      <c r="A16" s="17" t="s">
        <v>62</v>
      </c>
      <c r="B16" s="17" t="s">
        <v>204</v>
      </c>
      <c r="C16" s="16" t="s">
        <v>182</v>
      </c>
      <c r="D16" s="17"/>
      <c r="E16" s="17"/>
    </row>
    <row r="17" spans="1:5" x14ac:dyDescent="0.25">
      <c r="A17" s="17" t="s">
        <v>205</v>
      </c>
      <c r="B17" s="17" t="s">
        <v>206</v>
      </c>
      <c r="C17" s="100" t="s">
        <v>185</v>
      </c>
      <c r="D17" s="17"/>
      <c r="E17" s="17"/>
    </row>
    <row r="18" spans="1:5" x14ac:dyDescent="0.25">
      <c r="A18" s="17" t="s">
        <v>207</v>
      </c>
      <c r="B18" s="17" t="s">
        <v>208</v>
      </c>
      <c r="C18" s="100" t="s">
        <v>185</v>
      </c>
      <c r="D18" s="17"/>
      <c r="E18" s="17"/>
    </row>
    <row r="19" spans="1:5" x14ac:dyDescent="0.25">
      <c r="A19" s="17" t="s">
        <v>209</v>
      </c>
      <c r="B19" s="17" t="s">
        <v>210</v>
      </c>
      <c r="C19" s="16" t="s">
        <v>31</v>
      </c>
      <c r="D19" s="17"/>
      <c r="E19" s="17"/>
    </row>
    <row r="20" spans="1:5" x14ac:dyDescent="0.25">
      <c r="A20" s="17" t="s">
        <v>211</v>
      </c>
      <c r="B20" s="17" t="s">
        <v>181</v>
      </c>
      <c r="C20" s="100" t="s">
        <v>185</v>
      </c>
      <c r="D20" s="17"/>
      <c r="E20" s="17"/>
    </row>
    <row r="21" spans="1:5" ht="15.75" customHeight="1" x14ac:dyDescent="0.25">
      <c r="A21" s="17" t="s">
        <v>71</v>
      </c>
      <c r="B21" s="17" t="s">
        <v>212</v>
      </c>
      <c r="C21" s="100" t="s">
        <v>185</v>
      </c>
      <c r="D21" s="17"/>
      <c r="E21" s="17"/>
    </row>
    <row r="22" spans="1:5" ht="15.75" customHeight="1" x14ac:dyDescent="0.25">
      <c r="A22" s="16" t="s">
        <v>213</v>
      </c>
      <c r="B22" s="17" t="s">
        <v>214</v>
      </c>
      <c r="C22" s="101" t="s">
        <v>189</v>
      </c>
      <c r="D22" s="102">
        <f>140/140</f>
        <v>1</v>
      </c>
      <c r="E22" s="16"/>
    </row>
    <row r="23" spans="1:5" ht="15.75" customHeight="1" x14ac:dyDescent="0.25">
      <c r="A23" s="17" t="s">
        <v>215</v>
      </c>
      <c r="B23" s="17" t="s">
        <v>216</v>
      </c>
      <c r="C23" s="100" t="s">
        <v>185</v>
      </c>
      <c r="D23" s="17"/>
      <c r="E23" s="17"/>
    </row>
    <row r="24" spans="1:5" ht="15.75" customHeight="1" x14ac:dyDescent="0.25">
      <c r="A24" s="17" t="s">
        <v>217</v>
      </c>
      <c r="B24" s="17" t="s">
        <v>218</v>
      </c>
      <c r="C24" s="101" t="s">
        <v>189</v>
      </c>
      <c r="D24" s="17"/>
      <c r="E24" s="17"/>
    </row>
    <row r="25" spans="1:5" ht="15.75" customHeight="1" x14ac:dyDescent="0.25">
      <c r="A25" s="17" t="s">
        <v>219</v>
      </c>
      <c r="B25" s="17" t="s">
        <v>220</v>
      </c>
      <c r="C25" s="100" t="s">
        <v>185</v>
      </c>
      <c r="D25" s="17"/>
      <c r="E25" s="17"/>
    </row>
    <row r="26" spans="1:5" ht="15.75" customHeight="1" x14ac:dyDescent="0.25">
      <c r="A26" s="16" t="s">
        <v>221</v>
      </c>
      <c r="B26" s="17" t="s">
        <v>222</v>
      </c>
      <c r="C26" s="100" t="s">
        <v>185</v>
      </c>
      <c r="D26" s="17"/>
      <c r="E26" s="17"/>
    </row>
    <row r="27" spans="1:5" ht="15.75" customHeight="1" x14ac:dyDescent="0.25">
      <c r="A27" s="17" t="s">
        <v>223</v>
      </c>
      <c r="B27" s="17" t="s">
        <v>224</v>
      </c>
      <c r="C27" s="101" t="s">
        <v>189</v>
      </c>
      <c r="D27" s="102">
        <f>135/140</f>
        <v>0.9642857142857143</v>
      </c>
      <c r="E27" s="16"/>
    </row>
    <row r="28" spans="1:5" ht="15.75" customHeight="1" x14ac:dyDescent="0.25">
      <c r="A28" s="17" t="s">
        <v>225</v>
      </c>
      <c r="B28" s="17" t="s">
        <v>226</v>
      </c>
      <c r="C28" s="101" t="s">
        <v>189</v>
      </c>
      <c r="D28" s="102">
        <f>85/140</f>
        <v>0.6071428571428571</v>
      </c>
      <c r="E28" s="16"/>
    </row>
    <row r="29" spans="1:5" ht="15.75" customHeight="1" x14ac:dyDescent="0.25">
      <c r="A29" s="16" t="s">
        <v>227</v>
      </c>
      <c r="B29" s="17" t="s">
        <v>228</v>
      </c>
      <c r="C29" s="101" t="s">
        <v>189</v>
      </c>
      <c r="D29" s="102">
        <f>135/140</f>
        <v>0.9642857142857143</v>
      </c>
      <c r="E29" s="16"/>
    </row>
    <row r="30" spans="1:5" ht="15.75" customHeight="1" x14ac:dyDescent="0.25">
      <c r="A30" s="17" t="s">
        <v>229</v>
      </c>
      <c r="B30" s="17" t="s">
        <v>230</v>
      </c>
      <c r="C30" s="100" t="s">
        <v>185</v>
      </c>
      <c r="D30" s="17"/>
      <c r="E30" s="17"/>
    </row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C1"/>
  </mergeCells>
  <pageMargins left="0.7" right="0.7" top="0.75" bottom="0.75" header="0" footer="0"/>
  <pageSetup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Listado Hermanos Grupos</vt:lpstr>
      <vt:lpstr>sReponsables</vt:lpstr>
      <vt:lpstr>xResponsables</vt:lpstr>
      <vt:lpstr>sMatrimonio</vt:lpstr>
      <vt:lpstr>Salmos</vt:lpstr>
      <vt:lpstr>xMatrimonio</vt:lpstr>
      <vt:lpstr>Eucaristia</vt:lpstr>
      <vt:lpstr>Temas</vt:lpstr>
      <vt:lpstr>Pago Salterio</vt:lpstr>
      <vt:lpstr>Preparación Temas y Escrutacio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dbaezh</dc:creator>
  <cp:lastModifiedBy>Carlos Baez</cp:lastModifiedBy>
  <dcterms:created xsi:type="dcterms:W3CDTF">2021-09-19T20:48:17Z</dcterms:created>
  <dcterms:modified xsi:type="dcterms:W3CDTF">2024-06-07T17:26:27Z</dcterms:modified>
</cp:coreProperties>
</file>